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dcd43ffb156b6104/Desktop/"/>
    </mc:Choice>
  </mc:AlternateContent>
  <xr:revisionPtr revIDLastSave="377" documentId="13_ncr:1_{7D0813D9-670A-4F5A-B48D-4BA6E657DD11}" xr6:coauthVersionLast="47" xr6:coauthVersionMax="47" xr10:uidLastSave="{243A2786-115A-41DB-BF00-45FC89787573}"/>
  <bookViews>
    <workbookView xWindow="6390" yWindow="5025" windowWidth="25680" windowHeight="15825" activeTab="3" xr2:uid="{00000000-000D-0000-FFFF-FFFF00000000}"/>
  </bookViews>
  <sheets>
    <sheet name="Data" sheetId="1" r:id="rId1"/>
    <sheet name="ASSUMPTIONS" sheetId="6" r:id="rId2"/>
    <sheet name="P&amp;L" sheetId="7" r:id="rId3"/>
    <sheet name="SCENERIO" sheetId="8" r:id="rId4"/>
    <sheet name="INSIGHT" sheetId="9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9" i="8" l="1"/>
  <c r="B7" i="6"/>
  <c r="B11" i="6"/>
  <c r="B8" i="6"/>
  <c r="K12" i="7" s="1"/>
  <c r="L12" i="7" s="1"/>
  <c r="B4" i="6"/>
  <c r="B28" i="7" s="1"/>
  <c r="B3" i="6"/>
  <c r="B13" i="6"/>
  <c r="E29" i="1"/>
  <c r="E17" i="1"/>
  <c r="E18" i="1"/>
  <c r="E19" i="1"/>
  <c r="E20" i="1"/>
  <c r="E21" i="1"/>
  <c r="E22" i="1"/>
  <c r="E23" i="1"/>
  <c r="E24" i="1"/>
  <c r="E25" i="1"/>
  <c r="E26" i="1"/>
  <c r="E27" i="1"/>
  <c r="E16" i="1"/>
  <c r="A5" i="7"/>
  <c r="A6" i="7"/>
  <c r="A7" i="7"/>
  <c r="A8" i="7"/>
  <c r="A9" i="7"/>
  <c r="A10" i="7"/>
  <c r="A11" i="7"/>
  <c r="A12" i="7"/>
  <c r="A13" i="7"/>
  <c r="A14" i="7"/>
  <c r="A15" i="7"/>
  <c r="A4" i="7"/>
  <c r="C22" i="7"/>
  <c r="D22" i="7"/>
  <c r="E22" i="7"/>
  <c r="F22" i="7"/>
  <c r="G22" i="7"/>
  <c r="H22" i="7"/>
  <c r="I22" i="7"/>
  <c r="J22" i="7"/>
  <c r="K22" i="7"/>
  <c r="L22" i="7"/>
  <c r="M22" i="7"/>
  <c r="B22" i="7"/>
  <c r="B14" i="6"/>
  <c r="D29" i="1"/>
  <c r="D17" i="1"/>
  <c r="D18" i="1"/>
  <c r="D19" i="1"/>
  <c r="D20" i="1"/>
  <c r="D21" i="1"/>
  <c r="D22" i="1"/>
  <c r="D23" i="1"/>
  <c r="D24" i="1"/>
  <c r="D25" i="1"/>
  <c r="D26" i="1"/>
  <c r="D27" i="1"/>
  <c r="D16" i="1"/>
  <c r="J12" i="7"/>
  <c r="L14" i="7" l="1"/>
  <c r="M14" i="7" s="1"/>
  <c r="M15" i="7"/>
  <c r="K13" i="7"/>
  <c r="L13" i="7" s="1"/>
  <c r="M13" i="7" s="1"/>
  <c r="K11" i="7"/>
  <c r="B3" i="7"/>
  <c r="B15" i="6"/>
  <c r="B12" i="6"/>
  <c r="A29" i="1"/>
  <c r="B10" i="6"/>
  <c r="B9" i="6"/>
  <c r="C17" i="1"/>
  <c r="C29" i="1" s="1"/>
  <c r="C18" i="1"/>
  <c r="C19" i="1"/>
  <c r="C20" i="1"/>
  <c r="C21" i="1"/>
  <c r="C22" i="1"/>
  <c r="C23" i="1"/>
  <c r="C24" i="1"/>
  <c r="C25" i="1"/>
  <c r="C26" i="1"/>
  <c r="C27" i="1"/>
  <c r="C16" i="1"/>
  <c r="B29" i="1"/>
  <c r="B17" i="1"/>
  <c r="B18" i="1"/>
  <c r="B19" i="1"/>
  <c r="B20" i="1"/>
  <c r="B21" i="1"/>
  <c r="B22" i="1"/>
  <c r="B23" i="1"/>
  <c r="B24" i="1"/>
  <c r="B25" i="1"/>
  <c r="B26" i="1"/>
  <c r="B27" i="1"/>
  <c r="B16" i="1"/>
  <c r="A17" i="1"/>
  <c r="A18" i="1"/>
  <c r="A19" i="1"/>
  <c r="A20" i="1"/>
  <c r="A21" i="1"/>
  <c r="A22" i="1"/>
  <c r="A23" i="1"/>
  <c r="A24" i="1"/>
  <c r="A25" i="1"/>
  <c r="A26" i="1"/>
  <c r="A27" i="1"/>
  <c r="A16" i="1"/>
  <c r="I3" i="1"/>
  <c r="I4" i="1" s="1"/>
  <c r="I5" i="1" s="1"/>
  <c r="I6" i="1" s="1"/>
  <c r="I7" i="1" s="1"/>
  <c r="I8" i="1" s="1"/>
  <c r="I9" i="1" s="1"/>
  <c r="I10" i="1" s="1"/>
  <c r="I11" i="1" s="1"/>
  <c r="I12" i="1" s="1"/>
  <c r="I13" i="1" s="1"/>
  <c r="B4" i="7" l="1"/>
  <c r="C4" i="7" s="1"/>
  <c r="B16" i="7"/>
  <c r="B18" i="7" s="1"/>
  <c r="C3" i="7"/>
  <c r="C28" i="7" s="1"/>
  <c r="B21" i="7" l="1"/>
  <c r="B23" i="7"/>
  <c r="B27" i="7"/>
  <c r="D3" i="7"/>
  <c r="D28" i="7" s="1"/>
  <c r="C5" i="7"/>
  <c r="D5" i="7" s="1"/>
  <c r="E5" i="7" s="1"/>
  <c r="F5" i="7" s="1"/>
  <c r="G5" i="7" s="1"/>
  <c r="H5" i="7" s="1"/>
  <c r="I5" i="7" s="1"/>
  <c r="J5" i="7" s="1"/>
  <c r="K5" i="7" s="1"/>
  <c r="L5" i="7" s="1"/>
  <c r="M5" i="7" s="1"/>
  <c r="D4" i="7"/>
  <c r="C16" i="7"/>
  <c r="C18" i="7" s="1"/>
  <c r="C23" i="7" s="1"/>
  <c r="B24" i="7" l="1"/>
  <c r="C27" i="7"/>
  <c r="C21" i="7"/>
  <c r="C24" i="7" s="1"/>
  <c r="E4" i="7"/>
  <c r="E3" i="7"/>
  <c r="E28" i="7" s="1"/>
  <c r="D6" i="7"/>
  <c r="E6" i="7" s="1"/>
  <c r="F6" i="7" s="1"/>
  <c r="G6" i="7" s="1"/>
  <c r="H6" i="7" s="1"/>
  <c r="I6" i="7" s="1"/>
  <c r="J6" i="7" s="1"/>
  <c r="K6" i="7" s="1"/>
  <c r="L6" i="7" s="1"/>
  <c r="M6" i="7" s="1"/>
  <c r="B31" i="7" l="1"/>
  <c r="B32" i="7" s="1"/>
  <c r="C31" i="7"/>
  <c r="C32" i="7" s="1"/>
  <c r="F3" i="7"/>
  <c r="F28" i="7" s="1"/>
  <c r="E7" i="7"/>
  <c r="F7" i="7" s="1"/>
  <c r="G7" i="7" s="1"/>
  <c r="H7" i="7" s="1"/>
  <c r="I7" i="7" s="1"/>
  <c r="J7" i="7" s="1"/>
  <c r="K7" i="7" s="1"/>
  <c r="L7" i="7" s="1"/>
  <c r="M7" i="7" s="1"/>
  <c r="D16" i="7"/>
  <c r="D18" i="7" s="1"/>
  <c r="F4" i="7"/>
  <c r="D23" i="7" l="1"/>
  <c r="D27" i="7"/>
  <c r="D21" i="7"/>
  <c r="E16" i="7"/>
  <c r="E18" i="7" s="1"/>
  <c r="G4" i="7"/>
  <c r="G3" i="7"/>
  <c r="G28" i="7" s="1"/>
  <c r="F8" i="7"/>
  <c r="D24" i="7" l="1"/>
  <c r="D31" i="7"/>
  <c r="D32" i="7" s="1"/>
  <c r="E23" i="7"/>
  <c r="E27" i="7"/>
  <c r="E21" i="7"/>
  <c r="G8" i="7"/>
  <c r="H8" i="7" s="1"/>
  <c r="I8" i="7" s="1"/>
  <c r="J8" i="7" s="1"/>
  <c r="K8" i="7" s="1"/>
  <c r="L8" i="7" s="1"/>
  <c r="M8" i="7" s="1"/>
  <c r="H3" i="7"/>
  <c r="H28" i="7" s="1"/>
  <c r="G9" i="7"/>
  <c r="H9" i="7" s="1"/>
  <c r="I9" i="7" s="1"/>
  <c r="J9" i="7" s="1"/>
  <c r="K9" i="7" s="1"/>
  <c r="L9" i="7" s="1"/>
  <c r="M9" i="7" s="1"/>
  <c r="F16" i="7"/>
  <c r="F18" i="7" s="1"/>
  <c r="F23" i="7" s="1"/>
  <c r="H4" i="7"/>
  <c r="E24" i="7" l="1"/>
  <c r="E31" i="7"/>
  <c r="E32" i="7" s="1"/>
  <c r="F27" i="7"/>
  <c r="F21" i="7"/>
  <c r="F24" i="7" s="1"/>
  <c r="G16" i="7"/>
  <c r="G18" i="7" s="1"/>
  <c r="I4" i="7"/>
  <c r="I3" i="7"/>
  <c r="I28" i="7" s="1"/>
  <c r="H10" i="7"/>
  <c r="I10" i="7" s="1"/>
  <c r="J10" i="7" s="1"/>
  <c r="K10" i="7" s="1"/>
  <c r="L10" i="7" s="1"/>
  <c r="M10" i="7" s="1"/>
  <c r="G23" i="7" l="1"/>
  <c r="F31" i="7"/>
  <c r="F32" i="7" s="1"/>
  <c r="G27" i="7"/>
  <c r="G21" i="7"/>
  <c r="J3" i="7"/>
  <c r="J28" i="7" s="1"/>
  <c r="I11" i="7"/>
  <c r="J11" i="7" s="1"/>
  <c r="L11" i="7" s="1"/>
  <c r="M11" i="7" s="1"/>
  <c r="J4" i="7"/>
  <c r="K4" i="7" s="1"/>
  <c r="L4" i="7" s="1"/>
  <c r="M4" i="7" s="1"/>
  <c r="H16" i="7"/>
  <c r="H18" i="7" s="1"/>
  <c r="H23" i="7" s="1"/>
  <c r="G24" i="7" l="1"/>
  <c r="H27" i="7"/>
  <c r="H21" i="7"/>
  <c r="H24" i="7" s="1"/>
  <c r="I16" i="7"/>
  <c r="I18" i="7" s="1"/>
  <c r="I23" i="7" s="1"/>
  <c r="K3" i="7"/>
  <c r="K28" i="7" s="1"/>
  <c r="M12" i="7"/>
  <c r="H31" i="7" l="1"/>
  <c r="H32" i="7" s="1"/>
  <c r="G31" i="7"/>
  <c r="G32" i="7" s="1"/>
  <c r="I27" i="7"/>
  <c r="I21" i="7"/>
  <c r="I24" i="7" s="1"/>
  <c r="I31" i="7" s="1"/>
  <c r="I32" i="7" s="1"/>
  <c r="L3" i="7"/>
  <c r="L28" i="7" s="1"/>
  <c r="J16" i="7"/>
  <c r="J18" i="7" s="1"/>
  <c r="J23" i="7" s="1"/>
  <c r="J27" i="7" l="1"/>
  <c r="J21" i="7"/>
  <c r="J24" i="7" s="1"/>
  <c r="M16" i="7"/>
  <c r="M3" i="7"/>
  <c r="M28" i="7" s="1"/>
  <c r="K16" i="7"/>
  <c r="K18" i="7" s="1"/>
  <c r="K23" i="7" s="1"/>
  <c r="E14" i="8" l="1"/>
  <c r="E18" i="8"/>
  <c r="M18" i="7"/>
  <c r="M21" i="7" s="1"/>
  <c r="J31" i="7"/>
  <c r="J32" i="7" s="1"/>
  <c r="K27" i="7"/>
  <c r="K21" i="7"/>
  <c r="K24" i="7" s="1"/>
  <c r="M27" i="7"/>
  <c r="L16" i="7"/>
  <c r="L18" i="7" s="1"/>
  <c r="L23" i="7" s="1"/>
  <c r="M23" i="7" l="1"/>
  <c r="M24" i="7" s="1"/>
  <c r="E15" i="8"/>
  <c r="K31" i="7"/>
  <c r="K32" i="7" s="1"/>
  <c r="L27" i="7"/>
  <c r="E17" i="8" s="1"/>
  <c r="L21" i="7"/>
  <c r="L24" i="7" s="1"/>
  <c r="M31" i="7" l="1"/>
  <c r="M32" i="7" s="1"/>
  <c r="L31" i="7"/>
  <c r="L32" i="7" s="1"/>
  <c r="E16" i="8" l="1"/>
</calcChain>
</file>

<file path=xl/sharedStrings.xml><?xml version="1.0" encoding="utf-8"?>
<sst xmlns="http://schemas.openxmlformats.org/spreadsheetml/2006/main" count="104" uniqueCount="92">
  <si>
    <t>Month</t>
  </si>
  <si>
    <t>Deliveries</t>
  </si>
  <si>
    <t>Subtotal</t>
  </si>
  <si>
    <t>Delivery Fees</t>
  </si>
  <si>
    <t>Commission</t>
  </si>
  <si>
    <t>Dasher Costs</t>
  </si>
  <si>
    <t>Customers Acquired</t>
  </si>
  <si>
    <t>Driver</t>
  </si>
  <si>
    <t>Value</t>
  </si>
  <si>
    <t>Dasher cost per delivery</t>
  </si>
  <si>
    <t>Total Active Customers</t>
  </si>
  <si>
    <t>Orders</t>
  </si>
  <si>
    <t>Revenue</t>
  </si>
  <si>
    <t>Total Revenue</t>
  </si>
  <si>
    <t>P&amp;L</t>
  </si>
  <si>
    <t>Gross profit</t>
  </si>
  <si>
    <t xml:space="preserve">Cohort </t>
  </si>
  <si>
    <t>Jul</t>
  </si>
  <si>
    <t>Aug</t>
  </si>
  <si>
    <t>Sep</t>
  </si>
  <si>
    <t>Oct</t>
  </si>
  <si>
    <t>Nov</t>
  </si>
  <si>
    <t>Dec</t>
  </si>
  <si>
    <t>Jan</t>
  </si>
  <si>
    <t>Feb</t>
  </si>
  <si>
    <t>Mar</t>
  </si>
  <si>
    <t>Apr</t>
  </si>
  <si>
    <t>May</t>
  </si>
  <si>
    <t>Jun</t>
  </si>
  <si>
    <t>Fees/Delivery</t>
  </si>
  <si>
    <t>Commission/Delivery</t>
  </si>
  <si>
    <t>Dasher Cost/Delivery</t>
  </si>
  <si>
    <t>Data sourced from company Activities</t>
  </si>
  <si>
    <t>Customer Acqusition Cost</t>
  </si>
  <si>
    <t>3rd Month</t>
  </si>
  <si>
    <t xml:space="preserve">4th month </t>
  </si>
  <si>
    <t>1st two months</t>
  </si>
  <si>
    <t>Churn April 2025 - Jun 2025</t>
  </si>
  <si>
    <t>Delivery /Order post Apr 2025</t>
  </si>
  <si>
    <t xml:space="preserve">Monthly customer growth </t>
  </si>
  <si>
    <t xml:space="preserve">Month </t>
  </si>
  <si>
    <t xml:space="preserve">AVERAGE </t>
  </si>
  <si>
    <t>AVERAGE</t>
  </si>
  <si>
    <t>Customer Data</t>
  </si>
  <si>
    <t>Beginnig Customer</t>
  </si>
  <si>
    <t>Churn</t>
  </si>
  <si>
    <t>AVG Subtotal Per Order</t>
  </si>
  <si>
    <t>Cost</t>
  </si>
  <si>
    <t>Net Contibuition</t>
  </si>
  <si>
    <t>Subtotal/Delivery</t>
  </si>
  <si>
    <t>Commission Rate</t>
  </si>
  <si>
    <t>Avg commission rate</t>
  </si>
  <si>
    <t>Avg Order request / Month</t>
  </si>
  <si>
    <t>Avg fee per delivery</t>
  </si>
  <si>
    <t>Avg Commission per delivery</t>
  </si>
  <si>
    <t>Avg Subtotal per order</t>
  </si>
  <si>
    <t>DoorDash San Francisco - Scenario Analysis</t>
  </si>
  <si>
    <t>Base Vs Best Case Vs Worst Case | July 2024 - June 2025</t>
  </si>
  <si>
    <t>SCENERIO  ASSUMPTIONS</t>
  </si>
  <si>
    <t>Worst Case</t>
  </si>
  <si>
    <t>Base Case</t>
  </si>
  <si>
    <t>Best Case</t>
  </si>
  <si>
    <t>Rationale</t>
  </si>
  <si>
    <t>Steady State Churn (Month 4+)</t>
  </si>
  <si>
    <t>Competitor Additional Churn (Apr-Jun)</t>
  </si>
  <si>
    <t>Orders Per Customer Per Month</t>
  </si>
  <si>
    <t>Customer Acquisition Cost</t>
  </si>
  <si>
    <t>Delivery Fee Per Order (Normal months)</t>
  </si>
  <si>
    <t>FINANCIAL OUTCOMES — 12 MONTH SUMMARY</t>
  </si>
  <si>
    <t>Delta (Best vs Worst)</t>
  </si>
  <si>
    <t>Breakeven Month</t>
  </si>
  <si>
    <t>Never</t>
  </si>
  <si>
    <t>2 months earlier</t>
  </si>
  <si>
    <t>Total Active Customer Jun-25</t>
  </si>
  <si>
    <t>Total Orders (12 months)</t>
  </si>
  <si>
    <t>Total Revenue (12 months)</t>
  </si>
  <si>
    <t>Total Dasher Costs ( 12 months)</t>
  </si>
  <si>
    <t>Total CAC (12 months)</t>
  </si>
  <si>
    <t>Net Contribuition ( 12 months)</t>
  </si>
  <si>
    <t>KEY SCENARIO INSIGHTS</t>
  </si>
  <si>
    <t>Churn is the biggest lever</t>
  </si>
  <si>
    <t>Competitor disruption is the biggest risk</t>
  </si>
  <si>
    <t>Order frequency drives profitability faster than customer count</t>
  </si>
  <si>
    <t>Base 10% — given in the case study
Worst 15% — 50% worse than base. In a competitive market like San Francisco where Uber Eats and Skip are aggressive, research shows churn can be 1.5x higher in contested markets
Best 8% — 20% better than base. DashPass subscribers historically churn at 8% steady state — so best case assumes successful DashPass conversion</t>
  </si>
  <si>
    <t>Base 5% — given in the case study
Worst 8% — 60% worse than base. Competitor runs sustained promotions for 6 months not 3, maintaining elevated churn pressure
Best 3% — 40% better than base. DashPass and loyalty programs switching reduce behavior — only price-sensitive customers churn</t>
  </si>
  <si>
    <t>Base 2.0 — given in the case study
Worst 1.5 — 25% below base. Competitor promotions cause customers to split orders between platforms — reducing DoorDash frequency
Best 2.5 — 25% above base. DashPass free delivery removes friction — subscribers order 25% more frequently than non-subscribers</t>
  </si>
  <si>
    <t>Toggle</t>
  </si>
  <si>
    <t>Base $12 — given in the case study
Worst $18 — 50% above base. Competitor launches aggressive paid digital acquisition in San Francisco simultaneously — bidding up Google and Meta CPCs by 50%
Best $10 — 17% below base. Strong word of mouth and organic growth from DashPass referral program reduces blended CAC</t>
  </si>
  <si>
    <t>Base $3.53 — calculated from historical data average
Worst $3.00 — 15% below base. Competitive pressure forces DoorDash to reduce delivery fees to retain price-sensitive customers
Best $4.00 — 13% above base. Premium positioning and DashPass membership allows higher non-member delivery fees — consistent with DoorDash's actual pricing strategy</t>
  </si>
  <si>
    <t>Reducing steady state churn from 10% to 8% adds approximately 6,100 active customers by June 2025 versus base case and improves net contribution by approximately $500k across the 12-month period. The first two months carry the highest churn risk at 30% monthly — DashPass conversion during onboarding is the single highest-impact retention investment available to the team.</t>
  </si>
  <si>
    <t>The April-June 2025 competitor shock is the single largest risk factor in this model. Escalating competitor churn from 5% to 8% combined with sustained delivery fee pressure drives an additional $1.8M in losses versus base case — moving the market from -$507K to -$2.31M net contribution over 12 months. A proactive competitive defense protocol triggered by competitor spend thresholds and targeting DashPass subscribers before churn accelerates would significantly reduce this exposure.</t>
  </si>
  <si>
    <t>Increasing orders per customer from 2.0 to 2.5 generates approximately 249,000 additional orders and $2.41M in incremental revenue over 12 months with zero additional acquisition cost. At a CAC range of $10-18 across scenarios, retaining and engaging existing customers is 3-5x more capital-efficient than acquiring new ones. Personalized recommendations, DashPass perks, and loyalty rewards are the highest-leverage tools available to improve this metric.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</si>
</sst>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yyyy\-mm\-dd"/>
    <numFmt numFmtId="165" formatCode="&quot;$&quot;#,##0"/>
    <numFmt numFmtId="166" formatCode="m/d/yyyy"/>
    <numFmt numFmtId="167" formatCode="&quot;$&quot;#,##0.00"/>
    <numFmt numFmtId="168" formatCode="0.0"/>
  </numFmts>
  <fonts count="10" x14ac:knownFonts="1">
    <font>
      <sz val="10"/>
      <color rgb="FF000000"/>
      <name val="Arial"/>
      <scheme val="minor"/>
    </font>
    <font>
      <b/>
      <sz val="10"/>
      <color theme="1"/>
      <name val="Arial"/>
      <family val="2"/>
      <scheme val="minor"/>
    </font>
    <font>
      <sz val="10"/>
      <color rgb="FF0000FF"/>
      <name val="Arial"/>
      <family val="2"/>
      <scheme val="minor"/>
    </font>
    <font>
      <sz val="10"/>
      <color theme="1"/>
      <name val="Arial"/>
      <family val="2"/>
      <scheme val="minor"/>
    </font>
    <font>
      <b/>
      <sz val="10"/>
      <color rgb="FF000000"/>
      <name val="Arial"/>
      <family val="2"/>
      <scheme val="minor"/>
    </font>
    <font>
      <sz val="10"/>
      <color rgb="FF000000"/>
      <name val="Arial"/>
      <family val="2"/>
      <scheme val="minor"/>
    </font>
    <font>
      <sz val="10"/>
      <color rgb="FF0000FF"/>
      <name val="Arial"/>
      <family val="2"/>
      <scheme val="minor"/>
    </font>
    <font>
      <b/>
      <sz val="10"/>
      <color theme="1"/>
      <name val="Arial"/>
      <family val="2"/>
      <scheme val="minor"/>
    </font>
    <font>
      <sz val="8"/>
      <name val="Arial"/>
      <family val="2"/>
      <scheme val="minor"/>
    </font>
    <font>
      <sz val="10"/>
      <color rgb="FF000000"/>
      <name val="Arial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C000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9" fontId="9" fillId="0" borderId="0" applyFont="0" applyFill="0" applyBorder="0" applyAlignment="0" applyProtection="0"/>
  </cellStyleXfs>
  <cellXfs count="71">
    <xf numFmtId="0" fontId="0" fillId="0" borderId="0" xfId="0"/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center"/>
    </xf>
    <xf numFmtId="164" fontId="2" fillId="0" borderId="0" xfId="0" applyNumberFormat="1" applyFont="1" applyAlignment="1">
      <alignment horizontal="left"/>
    </xf>
    <xf numFmtId="165" fontId="2" fillId="0" borderId="0" xfId="0" applyNumberFormat="1" applyFont="1" applyAlignment="1">
      <alignment horizontal="left"/>
    </xf>
    <xf numFmtId="166" fontId="3" fillId="0" borderId="0" xfId="0" applyNumberFormat="1" applyFont="1" applyAlignment="1">
      <alignment horizontal="left"/>
    </xf>
    <xf numFmtId="3" fontId="2" fillId="0" borderId="0" xfId="0" applyNumberFormat="1" applyFont="1" applyAlignment="1">
      <alignment horizontal="center"/>
    </xf>
    <xf numFmtId="167" fontId="0" fillId="0" borderId="0" xfId="0" applyNumberFormat="1"/>
    <xf numFmtId="0" fontId="5" fillId="0" borderId="0" xfId="0" applyFont="1"/>
    <xf numFmtId="0" fontId="1" fillId="0" borderId="0" xfId="0" applyFont="1" applyAlignment="1">
      <alignment horizontal="center"/>
    </xf>
    <xf numFmtId="3" fontId="6" fillId="0" borderId="0" xfId="0" applyNumberFormat="1" applyFont="1" applyAlignment="1">
      <alignment horizontal="center"/>
    </xf>
    <xf numFmtId="0" fontId="7" fillId="0" borderId="1" xfId="0" applyFont="1" applyBorder="1"/>
    <xf numFmtId="165" fontId="0" fillId="0" borderId="0" xfId="0" applyNumberFormat="1"/>
    <xf numFmtId="0" fontId="0" fillId="0" borderId="2" xfId="0" applyBorder="1"/>
    <xf numFmtId="0" fontId="4" fillId="2" borderId="2" xfId="0" applyFont="1" applyFill="1" applyBorder="1"/>
    <xf numFmtId="167" fontId="4" fillId="2" borderId="2" xfId="0" applyNumberFormat="1" applyFont="1" applyFill="1" applyBorder="1" applyAlignment="1">
      <alignment horizontal="center"/>
    </xf>
    <xf numFmtId="167" fontId="0" fillId="0" borderId="2" xfId="0" applyNumberFormat="1" applyBorder="1" applyAlignment="1">
      <alignment horizontal="center"/>
    </xf>
    <xf numFmtId="0" fontId="5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4" fillId="2" borderId="2" xfId="0" applyFont="1" applyFill="1" applyBorder="1" applyAlignment="1">
      <alignment horizontal="center"/>
    </xf>
    <xf numFmtId="0" fontId="5" fillId="0" borderId="2" xfId="0" applyFont="1" applyBorder="1"/>
    <xf numFmtId="0" fontId="5" fillId="0" borderId="2" xfId="0" applyFont="1" applyBorder="1" applyAlignment="1">
      <alignment horizontal="center"/>
    </xf>
    <xf numFmtId="167" fontId="4" fillId="4" borderId="2" xfId="0" applyNumberFormat="1" applyFont="1" applyFill="1" applyBorder="1" applyAlignment="1">
      <alignment horizontal="center"/>
    </xf>
    <xf numFmtId="17" fontId="4" fillId="4" borderId="2" xfId="0" applyNumberFormat="1" applyFont="1" applyFill="1" applyBorder="1"/>
    <xf numFmtId="2" fontId="0" fillId="0" borderId="2" xfId="0" applyNumberFormat="1" applyBorder="1"/>
    <xf numFmtId="0" fontId="4" fillId="0" borderId="2" xfId="0" applyFont="1" applyBorder="1"/>
    <xf numFmtId="0" fontId="4" fillId="5" borderId="3" xfId="0" applyFont="1" applyFill="1" applyBorder="1" applyAlignment="1">
      <alignment horizontal="center"/>
    </xf>
    <xf numFmtId="0" fontId="0" fillId="0" borderId="5" xfId="0" applyBorder="1"/>
    <xf numFmtId="0" fontId="0" fillId="0" borderId="6" xfId="0" applyBorder="1" applyAlignment="1">
      <alignment horizontal="center"/>
    </xf>
    <xf numFmtId="2" fontId="0" fillId="0" borderId="6" xfId="0" applyNumberFormat="1" applyBorder="1" applyAlignment="1">
      <alignment horizontal="center"/>
    </xf>
    <xf numFmtId="0" fontId="4" fillId="3" borderId="2" xfId="0" applyFont="1" applyFill="1" applyBorder="1"/>
    <xf numFmtId="0" fontId="4" fillId="3" borderId="3" xfId="0" applyFont="1" applyFill="1" applyBorder="1"/>
    <xf numFmtId="0" fontId="4" fillId="3" borderId="5" xfId="0" applyFont="1" applyFill="1" applyBorder="1"/>
    <xf numFmtId="0" fontId="4" fillId="0" borderId="2" xfId="0" applyFont="1" applyBorder="1" applyAlignment="1">
      <alignment horizontal="center"/>
    </xf>
    <xf numFmtId="0" fontId="0" fillId="0" borderId="2" xfId="0" applyBorder="1" applyAlignment="1">
      <alignment horizontal="center"/>
    </xf>
    <xf numFmtId="9" fontId="0" fillId="0" borderId="2" xfId="1" applyFont="1" applyBorder="1" applyAlignment="1">
      <alignment horizontal="center"/>
    </xf>
    <xf numFmtId="167" fontId="0" fillId="0" borderId="2" xfId="0" applyNumberFormat="1" applyBorder="1"/>
    <xf numFmtId="0" fontId="4" fillId="5" borderId="7" xfId="0" applyFont="1" applyFill="1" applyBorder="1"/>
    <xf numFmtId="167" fontId="0" fillId="0" borderId="4" xfId="0" applyNumberFormat="1" applyBorder="1"/>
    <xf numFmtId="167" fontId="0" fillId="0" borderId="5" xfId="0" applyNumberFormat="1" applyBorder="1"/>
    <xf numFmtId="167" fontId="5" fillId="0" borderId="2" xfId="0" applyNumberFormat="1" applyFont="1" applyBorder="1" applyAlignment="1">
      <alignment horizontal="center"/>
    </xf>
    <xf numFmtId="10" fontId="4" fillId="4" borderId="2" xfId="1" applyNumberFormat="1" applyFont="1" applyFill="1" applyBorder="1" applyAlignment="1">
      <alignment horizontal="center"/>
    </xf>
    <xf numFmtId="10" fontId="5" fillId="0" borderId="2" xfId="1" applyNumberFormat="1" applyFont="1" applyBorder="1" applyAlignment="1">
      <alignment horizontal="center"/>
    </xf>
    <xf numFmtId="0" fontId="0" fillId="0" borderId="0" xfId="0" applyAlignment="1">
      <alignment horizontal="left"/>
    </xf>
    <xf numFmtId="0" fontId="5" fillId="0" borderId="2" xfId="0" applyFont="1" applyBorder="1" applyAlignment="1">
      <alignment horizontal="left"/>
    </xf>
    <xf numFmtId="9" fontId="0" fillId="0" borderId="2" xfId="1" applyFont="1" applyBorder="1" applyAlignment="1">
      <alignment horizontal="left"/>
    </xf>
    <xf numFmtId="0" fontId="5" fillId="0" borderId="2" xfId="0" applyFont="1" applyBorder="1" applyAlignment="1">
      <alignment horizontal="left" wrapText="1"/>
    </xf>
    <xf numFmtId="0" fontId="5" fillId="0" borderId="2" xfId="0" applyFont="1" applyBorder="1" applyAlignment="1">
      <alignment wrapText="1"/>
    </xf>
    <xf numFmtId="0" fontId="0" fillId="0" borderId="2" xfId="1" applyNumberFormat="1" applyFont="1" applyBorder="1" applyAlignment="1">
      <alignment horizontal="left"/>
    </xf>
    <xf numFmtId="167" fontId="0" fillId="0" borderId="2" xfId="1" applyNumberFormat="1" applyFont="1" applyBorder="1" applyAlignment="1">
      <alignment horizontal="left"/>
    </xf>
    <xf numFmtId="3" fontId="0" fillId="0" borderId="2" xfId="0" applyNumberFormat="1" applyBorder="1" applyAlignment="1">
      <alignment horizontal="left"/>
    </xf>
    <xf numFmtId="167" fontId="0" fillId="0" borderId="2" xfId="0" applyNumberFormat="1" applyBorder="1" applyAlignment="1">
      <alignment horizontal="left"/>
    </xf>
    <xf numFmtId="0" fontId="0" fillId="0" borderId="0" xfId="1" applyNumberFormat="1" applyFont="1" applyBorder="1" applyAlignment="1">
      <alignment horizontal="left"/>
    </xf>
    <xf numFmtId="0" fontId="5" fillId="4" borderId="2" xfId="0" applyFont="1" applyFill="1" applyBorder="1"/>
    <xf numFmtId="0" fontId="5" fillId="4" borderId="2" xfId="0" applyFont="1" applyFill="1" applyBorder="1" applyAlignment="1">
      <alignment wrapText="1"/>
    </xf>
    <xf numFmtId="0" fontId="0" fillId="4" borderId="2" xfId="0" applyFill="1" applyBorder="1"/>
    <xf numFmtId="0" fontId="5" fillId="0" borderId="0" xfId="0" applyFont="1" applyAlignment="1">
      <alignment vertical="center" wrapText="1"/>
    </xf>
    <xf numFmtId="0" fontId="5" fillId="6" borderId="2" xfId="0" applyFont="1" applyFill="1" applyBorder="1"/>
    <xf numFmtId="17" fontId="0" fillId="0" borderId="2" xfId="0" applyNumberFormat="1" applyBorder="1" applyAlignment="1">
      <alignment horizontal="left"/>
    </xf>
    <xf numFmtId="9" fontId="0" fillId="0" borderId="0" xfId="1" applyFont="1" applyBorder="1" applyAlignment="1">
      <alignment horizontal="left"/>
    </xf>
    <xf numFmtId="2" fontId="0" fillId="0" borderId="2" xfId="0" applyNumberFormat="1" applyBorder="1" applyAlignment="1">
      <alignment horizontal="left"/>
    </xf>
    <xf numFmtId="0" fontId="4" fillId="6" borderId="8" xfId="0" applyFont="1" applyFill="1" applyBorder="1" applyAlignment="1">
      <alignment horizontal="center"/>
    </xf>
    <xf numFmtId="0" fontId="4" fillId="3" borderId="0" xfId="0" applyFont="1" applyFill="1" applyAlignment="1">
      <alignment horizontal="left"/>
    </xf>
    <xf numFmtId="0" fontId="5" fillId="0" borderId="0" xfId="0" applyFont="1" applyAlignment="1">
      <alignment horizontal="left"/>
    </xf>
    <xf numFmtId="0" fontId="5" fillId="0" borderId="2" xfId="0" applyFont="1" applyBorder="1" applyAlignment="1">
      <alignment horizontal="left" wrapText="1"/>
    </xf>
    <xf numFmtId="0" fontId="0" fillId="0" borderId="2" xfId="0" applyBorder="1" applyAlignment="1">
      <alignment horizontal="left" wrapText="1"/>
    </xf>
    <xf numFmtId="0" fontId="5" fillId="0" borderId="2" xfId="0" applyFont="1" applyBorder="1" applyAlignment="1">
      <alignment horizontal="left" vertical="top" wrapText="1"/>
    </xf>
    <xf numFmtId="0" fontId="0" fillId="0" borderId="2" xfId="0" applyBorder="1" applyAlignment="1">
      <alignment horizontal="left" vertical="top" wrapText="1"/>
    </xf>
    <xf numFmtId="0" fontId="5" fillId="0" borderId="2" xfId="0" applyFont="1" applyBorder="1" applyAlignment="1">
      <alignment horizontal="left" vertical="center" wrapText="1"/>
    </xf>
    <xf numFmtId="168" fontId="0" fillId="0" borderId="2" xfId="0" applyNumberFormat="1" applyBorder="1" applyAlignment="1">
      <alignment horizontal="left"/>
    </xf>
    <xf numFmtId="0" fontId="5" fillId="0" borderId="2" xfId="0" applyFont="1" applyBorder="1" applyAlignment="1">
      <alignment horizontal="left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  <outlinePr summaryBelow="0" summaryRight="0"/>
  </sheetPr>
  <dimension ref="A1:O29"/>
  <sheetViews>
    <sheetView workbookViewId="0">
      <selection activeCell="C31" sqref="C31"/>
    </sheetView>
  </sheetViews>
  <sheetFormatPr defaultColWidth="12.5703125" defaultRowHeight="15.75" customHeight="1" x14ac:dyDescent="0.2"/>
  <cols>
    <col min="1" max="1" width="14" bestFit="1" customWidth="1"/>
    <col min="2" max="2" width="20.28515625" bestFit="1" customWidth="1"/>
    <col min="3" max="3" width="20" bestFit="1" customWidth="1"/>
    <col min="4" max="4" width="16.7109375" bestFit="1" customWidth="1"/>
    <col min="5" max="5" width="16.85546875" bestFit="1" customWidth="1"/>
    <col min="8" max="8" width="13.28515625" bestFit="1" customWidth="1"/>
    <col min="9" max="9" width="19.42578125" bestFit="1" customWidth="1"/>
    <col min="10" max="10" width="19.42578125" customWidth="1"/>
  </cols>
  <sheetData>
    <row r="1" spans="1:15" ht="12.7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H1" s="11" t="s">
        <v>16</v>
      </c>
      <c r="I1" s="2" t="s">
        <v>6</v>
      </c>
      <c r="J1" s="9"/>
    </row>
    <row r="2" spans="1:15" ht="12.75" x14ac:dyDescent="0.2">
      <c r="A2" s="3">
        <v>45108</v>
      </c>
      <c r="B2" s="6">
        <v>914395</v>
      </c>
      <c r="C2" s="4">
        <v>30322972.420000002</v>
      </c>
      <c r="D2" s="4">
        <v>3262196.27</v>
      </c>
      <c r="E2" s="4">
        <v>5588748.7098169597</v>
      </c>
      <c r="F2" s="4">
        <v>5863681.3174211904</v>
      </c>
      <c r="G2" s="8"/>
      <c r="H2" s="5">
        <v>45474</v>
      </c>
      <c r="I2" s="6">
        <v>10000</v>
      </c>
      <c r="J2" s="10"/>
      <c r="K2" s="7"/>
      <c r="L2" s="7"/>
      <c r="M2" s="7"/>
      <c r="N2" s="7"/>
      <c r="O2" s="7"/>
    </row>
    <row r="3" spans="1:15" ht="12.75" x14ac:dyDescent="0.2">
      <c r="A3" s="3">
        <v>45139</v>
      </c>
      <c r="B3" s="6">
        <v>948388</v>
      </c>
      <c r="C3" s="4">
        <v>31496113.899999999</v>
      </c>
      <c r="D3" s="4">
        <v>3334816.98</v>
      </c>
      <c r="E3" s="4">
        <v>5807174.4521493204</v>
      </c>
      <c r="F3" s="4">
        <v>6165788.6666752696</v>
      </c>
      <c r="G3" s="8"/>
      <c r="H3" s="5">
        <v>45505</v>
      </c>
      <c r="I3" s="6">
        <f t="shared" ref="I3:I13" si="0">I2+1000</f>
        <v>11000</v>
      </c>
      <c r="J3" s="6"/>
      <c r="K3" s="7"/>
      <c r="L3" s="7"/>
      <c r="M3" s="7"/>
      <c r="N3" s="7"/>
      <c r="O3" s="7"/>
    </row>
    <row r="4" spans="1:15" ht="12.75" x14ac:dyDescent="0.2">
      <c r="A4" s="3">
        <v>45170</v>
      </c>
      <c r="B4" s="6">
        <v>956516</v>
      </c>
      <c r="C4" s="4">
        <v>31921908.5</v>
      </c>
      <c r="D4" s="4">
        <v>3342796.52</v>
      </c>
      <c r="E4" s="4">
        <v>5859473.34898235</v>
      </c>
      <c r="F4" s="4">
        <v>6389738.9104087902</v>
      </c>
      <c r="G4" s="8"/>
      <c r="H4" s="5">
        <v>45536</v>
      </c>
      <c r="I4" s="6">
        <f t="shared" si="0"/>
        <v>12000</v>
      </c>
      <c r="J4" s="6"/>
      <c r="K4" s="7"/>
      <c r="L4" s="7"/>
      <c r="M4" s="7"/>
      <c r="N4" s="7"/>
      <c r="O4" s="7"/>
    </row>
    <row r="5" spans="1:15" ht="12.75" x14ac:dyDescent="0.2">
      <c r="A5" s="3">
        <v>45200</v>
      </c>
      <c r="B5" s="6">
        <v>1017972</v>
      </c>
      <c r="C5" s="4">
        <v>34257434.840000004</v>
      </c>
      <c r="D5" s="4">
        <v>3617001.87</v>
      </c>
      <c r="E5" s="4">
        <v>6246094.9248193996</v>
      </c>
      <c r="F5" s="4">
        <v>6777574.21106881</v>
      </c>
      <c r="G5" s="8"/>
      <c r="H5" s="5">
        <v>45566</v>
      </c>
      <c r="I5" s="6">
        <f t="shared" si="0"/>
        <v>13000</v>
      </c>
      <c r="J5" s="6"/>
      <c r="K5" s="7"/>
      <c r="L5" s="7"/>
      <c r="M5" s="7"/>
      <c r="N5" s="7"/>
      <c r="O5" s="7"/>
    </row>
    <row r="6" spans="1:15" ht="12.75" x14ac:dyDescent="0.2">
      <c r="A6" s="3">
        <v>45231</v>
      </c>
      <c r="B6" s="6">
        <v>922301</v>
      </c>
      <c r="C6" s="4">
        <v>30795749.449999999</v>
      </c>
      <c r="D6" s="4">
        <v>3267176.36</v>
      </c>
      <c r="E6" s="4">
        <v>5628007.68420274</v>
      </c>
      <c r="F6" s="4">
        <v>6044248.9918074198</v>
      </c>
      <c r="G6" s="8"/>
      <c r="H6" s="5">
        <v>45597</v>
      </c>
      <c r="I6" s="6">
        <f t="shared" si="0"/>
        <v>14000</v>
      </c>
      <c r="J6" s="6"/>
      <c r="K6" s="7"/>
      <c r="L6" s="7"/>
      <c r="M6" s="7"/>
      <c r="N6" s="7"/>
      <c r="O6" s="7"/>
    </row>
    <row r="7" spans="1:15" ht="12.75" x14ac:dyDescent="0.2">
      <c r="A7" s="3">
        <v>45261</v>
      </c>
      <c r="B7" s="6">
        <v>952400</v>
      </c>
      <c r="C7" s="4">
        <v>32565192.09</v>
      </c>
      <c r="D7" s="4">
        <v>3349130.06</v>
      </c>
      <c r="E7" s="4">
        <v>5911230.0996996304</v>
      </c>
      <c r="F7" s="4">
        <v>6136147.2376510501</v>
      </c>
      <c r="G7" s="8"/>
      <c r="H7" s="5">
        <v>45627</v>
      </c>
      <c r="I7" s="6">
        <f t="shared" si="0"/>
        <v>15000</v>
      </c>
      <c r="J7" s="6"/>
      <c r="K7" s="7"/>
      <c r="L7" s="7"/>
      <c r="M7" s="7"/>
      <c r="N7" s="7"/>
      <c r="O7" s="7"/>
    </row>
    <row r="8" spans="1:15" ht="12.75" x14ac:dyDescent="0.2">
      <c r="A8" s="3">
        <v>45292</v>
      </c>
      <c r="B8" s="6">
        <v>980540</v>
      </c>
      <c r="C8" s="4">
        <v>33575298.549999997</v>
      </c>
      <c r="D8" s="4">
        <v>3434231.62</v>
      </c>
      <c r="E8" s="4">
        <v>6062256.2354280204</v>
      </c>
      <c r="F8" s="4">
        <v>6374449.1826205105</v>
      </c>
      <c r="G8" s="8"/>
      <c r="H8" s="5">
        <v>45658</v>
      </c>
      <c r="I8" s="6">
        <f t="shared" si="0"/>
        <v>16000</v>
      </c>
      <c r="J8" s="6"/>
      <c r="K8" s="7"/>
      <c r="L8" s="7"/>
      <c r="M8" s="7"/>
      <c r="N8" s="7"/>
      <c r="O8" s="7"/>
    </row>
    <row r="9" spans="1:15" ht="12.75" x14ac:dyDescent="0.2">
      <c r="A9" s="3">
        <v>45323</v>
      </c>
      <c r="B9" s="6">
        <v>958610</v>
      </c>
      <c r="C9" s="4">
        <v>32749920.489999998</v>
      </c>
      <c r="D9" s="4">
        <v>3349378.41</v>
      </c>
      <c r="E9" s="4">
        <v>5893987.1214002697</v>
      </c>
      <c r="F9" s="4">
        <v>6301878.89176377</v>
      </c>
      <c r="G9" s="8"/>
      <c r="H9" s="5">
        <v>45689</v>
      </c>
      <c r="I9" s="6">
        <f t="shared" si="0"/>
        <v>17000</v>
      </c>
      <c r="J9" s="6"/>
      <c r="K9" s="7"/>
      <c r="L9" s="7"/>
      <c r="M9" s="7"/>
      <c r="N9" s="7"/>
      <c r="O9" s="7"/>
    </row>
    <row r="10" spans="1:15" ht="12.75" x14ac:dyDescent="0.2">
      <c r="A10" s="3">
        <v>45352</v>
      </c>
      <c r="B10" s="6">
        <v>1047711</v>
      </c>
      <c r="C10" s="4">
        <v>35740385.840000004</v>
      </c>
      <c r="D10" s="4">
        <v>3734473.99</v>
      </c>
      <c r="E10" s="4">
        <v>6406558.1278887996</v>
      </c>
      <c r="F10" s="4">
        <v>6723076.5490766102</v>
      </c>
      <c r="G10" s="8"/>
      <c r="H10" s="5">
        <v>45717</v>
      </c>
      <c r="I10" s="6">
        <f t="shared" si="0"/>
        <v>18000</v>
      </c>
      <c r="J10" s="6"/>
      <c r="K10" s="7"/>
      <c r="L10" s="7"/>
      <c r="M10" s="7"/>
      <c r="N10" s="7"/>
      <c r="O10" s="7"/>
    </row>
    <row r="11" spans="1:15" ht="12.75" x14ac:dyDescent="0.2">
      <c r="A11" s="3">
        <v>45383</v>
      </c>
      <c r="B11" s="6">
        <v>979037</v>
      </c>
      <c r="C11" s="4">
        <v>33189120.260000002</v>
      </c>
      <c r="D11" s="4">
        <v>3484621.99</v>
      </c>
      <c r="E11" s="4">
        <v>5923500.19845373</v>
      </c>
      <c r="F11" s="4">
        <v>6550510.10422571</v>
      </c>
      <c r="G11" s="8"/>
      <c r="H11" s="5">
        <v>45748</v>
      </c>
      <c r="I11" s="6">
        <f t="shared" si="0"/>
        <v>19000</v>
      </c>
      <c r="J11" s="6"/>
      <c r="K11" s="7"/>
      <c r="L11" s="7"/>
      <c r="M11" s="7"/>
      <c r="N11" s="7"/>
      <c r="O11" s="7"/>
    </row>
    <row r="12" spans="1:15" ht="12.75" x14ac:dyDescent="0.2">
      <c r="A12" s="3">
        <v>45413</v>
      </c>
      <c r="B12" s="6">
        <v>1028592</v>
      </c>
      <c r="C12" s="4">
        <v>34904385.670000002</v>
      </c>
      <c r="D12" s="4">
        <v>3612014.39</v>
      </c>
      <c r="E12" s="4">
        <v>6231104.5915345401</v>
      </c>
      <c r="F12" s="4">
        <v>6905654.4791148202</v>
      </c>
      <c r="G12" s="8"/>
      <c r="H12" s="5">
        <v>45778</v>
      </c>
      <c r="I12" s="6">
        <f t="shared" si="0"/>
        <v>20000</v>
      </c>
      <c r="J12" s="6"/>
      <c r="K12" s="7"/>
      <c r="L12" s="7"/>
      <c r="M12" s="7"/>
      <c r="N12" s="7"/>
      <c r="O12" s="7"/>
    </row>
    <row r="13" spans="1:15" ht="12.75" x14ac:dyDescent="0.2">
      <c r="A13" s="3">
        <v>45444</v>
      </c>
      <c r="B13" s="6">
        <v>990651</v>
      </c>
      <c r="C13" s="4">
        <v>33777694.5</v>
      </c>
      <c r="D13" s="4">
        <v>3512049.39</v>
      </c>
      <c r="E13" s="4">
        <v>5967598.8213181896</v>
      </c>
      <c r="F13" s="4">
        <v>6498368.0155469496</v>
      </c>
      <c r="G13" s="8"/>
      <c r="H13" s="5">
        <v>45809</v>
      </c>
      <c r="I13" s="6">
        <f t="shared" si="0"/>
        <v>21000</v>
      </c>
      <c r="J13" s="6"/>
      <c r="K13" s="7"/>
      <c r="L13" s="7"/>
      <c r="M13" s="7"/>
      <c r="N13" s="7"/>
      <c r="O13" s="7"/>
    </row>
    <row r="15" spans="1:15" ht="15.75" customHeight="1" x14ac:dyDescent="0.2">
      <c r="A15" s="14" t="s">
        <v>29</v>
      </c>
      <c r="B15" s="14" t="s">
        <v>30</v>
      </c>
      <c r="C15" s="14" t="s">
        <v>31</v>
      </c>
      <c r="D15" s="19" t="s">
        <v>49</v>
      </c>
      <c r="E15" s="19" t="s">
        <v>50</v>
      </c>
      <c r="F15" s="19" t="s">
        <v>40</v>
      </c>
    </row>
    <row r="16" spans="1:15" ht="15.75" customHeight="1" x14ac:dyDescent="0.2">
      <c r="A16" s="16">
        <f>D2/B2</f>
        <v>3.567600730537678</v>
      </c>
      <c r="B16" s="16">
        <f>E2/B2</f>
        <v>6.1119633307454215</v>
      </c>
      <c r="C16" s="16">
        <f>F2/B2</f>
        <v>6.4126349306603716</v>
      </c>
      <c r="D16" s="40">
        <f>C2/B2</f>
        <v>33.161787214497018</v>
      </c>
      <c r="E16" s="42">
        <f>E2/C2</f>
        <v>0.18430741658198427</v>
      </c>
      <c r="F16" s="21" t="s">
        <v>17</v>
      </c>
    </row>
    <row r="17" spans="1:7" ht="15.75" customHeight="1" x14ac:dyDescent="0.2">
      <c r="A17" s="16">
        <f t="shared" ref="A17:A27" si="1">D3/B3</f>
        <v>3.5163002695099475</v>
      </c>
      <c r="B17" s="16">
        <f t="shared" ref="B17:B27" si="2">E3/B3</f>
        <v>6.1232053254040757</v>
      </c>
      <c r="C17" s="16">
        <f t="shared" ref="C17:C27" si="3">F3/B3</f>
        <v>6.5013355996441007</v>
      </c>
      <c r="D17" s="40">
        <f t="shared" ref="D17:D27" si="4">C3/B3</f>
        <v>33.210156497129866</v>
      </c>
      <c r="E17" s="42">
        <f t="shared" ref="E17:E27" si="5">E3/C3</f>
        <v>0.18437749084179306</v>
      </c>
      <c r="F17" s="21" t="s">
        <v>18</v>
      </c>
    </row>
    <row r="18" spans="1:7" ht="15.75" customHeight="1" x14ac:dyDescent="0.2">
      <c r="A18" s="16">
        <f t="shared" si="1"/>
        <v>3.4947627849403462</v>
      </c>
      <c r="B18" s="16">
        <f t="shared" si="2"/>
        <v>6.1258498017621763</v>
      </c>
      <c r="C18" s="16">
        <f t="shared" si="3"/>
        <v>6.680221669484661</v>
      </c>
      <c r="D18" s="40">
        <f t="shared" si="4"/>
        <v>33.373104579536566</v>
      </c>
      <c r="E18" s="42">
        <f t="shared" si="5"/>
        <v>0.18355648594702131</v>
      </c>
      <c r="F18" s="21" t="s">
        <v>19</v>
      </c>
      <c r="G18" s="12"/>
    </row>
    <row r="19" spans="1:7" ht="15.75" customHeight="1" x14ac:dyDescent="0.2">
      <c r="A19" s="16">
        <f t="shared" si="1"/>
        <v>3.5531447525079276</v>
      </c>
      <c r="B19" s="16">
        <f t="shared" si="2"/>
        <v>6.1358219330388257</v>
      </c>
      <c r="C19" s="16">
        <f t="shared" si="3"/>
        <v>6.657918106852458</v>
      </c>
      <c r="D19" s="40">
        <f t="shared" si="4"/>
        <v>33.652629777636321</v>
      </c>
      <c r="E19" s="42">
        <f t="shared" si="5"/>
        <v>0.18232815603362901</v>
      </c>
      <c r="F19" s="21" t="s">
        <v>20</v>
      </c>
    </row>
    <row r="20" spans="1:7" ht="15.75" customHeight="1" x14ac:dyDescent="0.2">
      <c r="A20" s="16">
        <f t="shared" si="1"/>
        <v>3.5424187548316652</v>
      </c>
      <c r="B20" s="16">
        <f t="shared" si="2"/>
        <v>6.1021376797842999</v>
      </c>
      <c r="C20" s="16">
        <f t="shared" si="3"/>
        <v>6.5534451245389738</v>
      </c>
      <c r="D20" s="40">
        <f t="shared" si="4"/>
        <v>33.390129090177716</v>
      </c>
      <c r="E20" s="42">
        <f t="shared" si="5"/>
        <v>0.18275274298293592</v>
      </c>
      <c r="F20" s="21" t="s">
        <v>21</v>
      </c>
    </row>
    <row r="21" spans="1:7" ht="15.75" customHeight="1" x14ac:dyDescent="0.2">
      <c r="A21" s="16">
        <f t="shared" si="1"/>
        <v>3.5165162326753467</v>
      </c>
      <c r="B21" s="16">
        <f t="shared" si="2"/>
        <v>6.2066674713351855</v>
      </c>
      <c r="C21" s="16">
        <f t="shared" si="3"/>
        <v>6.4428257430187426</v>
      </c>
      <c r="D21" s="40">
        <f t="shared" si="4"/>
        <v>34.192767839143215</v>
      </c>
      <c r="E21" s="42">
        <f t="shared" si="5"/>
        <v>0.18151989042050912</v>
      </c>
      <c r="F21" s="21" t="s">
        <v>22</v>
      </c>
    </row>
    <row r="22" spans="1:7" ht="15.75" customHeight="1" x14ac:dyDescent="0.2">
      <c r="A22" s="16">
        <f t="shared" si="1"/>
        <v>3.5023880922756851</v>
      </c>
      <c r="B22" s="16">
        <f t="shared" si="2"/>
        <v>6.1825690287270492</v>
      </c>
      <c r="C22" s="16">
        <f t="shared" si="3"/>
        <v>6.5009578218333886</v>
      </c>
      <c r="D22" s="40">
        <f t="shared" si="4"/>
        <v>34.241640881555057</v>
      </c>
      <c r="E22" s="42">
        <f t="shared" si="5"/>
        <v>0.18055703142595053</v>
      </c>
      <c r="F22" s="21" t="s">
        <v>23</v>
      </c>
    </row>
    <row r="23" spans="1:7" ht="15.75" customHeight="1" x14ac:dyDescent="0.2">
      <c r="A23" s="16">
        <f t="shared" si="1"/>
        <v>3.4939948571368964</v>
      </c>
      <c r="B23" s="16">
        <f t="shared" si="2"/>
        <v>6.1484723937787731</v>
      </c>
      <c r="C23" s="16">
        <f t="shared" si="3"/>
        <v>6.5739757479723453</v>
      </c>
      <c r="D23" s="40">
        <f t="shared" si="4"/>
        <v>34.163967087762487</v>
      </c>
      <c r="E23" s="42">
        <f t="shared" si="5"/>
        <v>0.17996950933667044</v>
      </c>
      <c r="F23" s="21" t="s">
        <v>24</v>
      </c>
    </row>
    <row r="24" spans="1:7" ht="15.75" customHeight="1" x14ac:dyDescent="0.2">
      <c r="A24" s="16">
        <f t="shared" si="1"/>
        <v>3.5644123140827961</v>
      </c>
      <c r="B24" s="16">
        <f t="shared" si="2"/>
        <v>6.1148142263360787</v>
      </c>
      <c r="C24" s="16">
        <f t="shared" si="3"/>
        <v>6.4169189300070437</v>
      </c>
      <c r="D24" s="40">
        <f t="shared" si="4"/>
        <v>34.11282867126527</v>
      </c>
      <c r="E24" s="42">
        <f t="shared" si="5"/>
        <v>0.17925262912854997</v>
      </c>
      <c r="F24" s="21" t="s">
        <v>25</v>
      </c>
    </row>
    <row r="25" spans="1:7" ht="15.75" customHeight="1" x14ac:dyDescent="0.2">
      <c r="A25" s="16">
        <f t="shared" si="1"/>
        <v>3.5592342168886368</v>
      </c>
      <c r="B25" s="16">
        <f t="shared" si="2"/>
        <v>6.0503333361800724</v>
      </c>
      <c r="C25" s="16">
        <f t="shared" si="3"/>
        <v>6.6907686882372266</v>
      </c>
      <c r="D25" s="40">
        <f t="shared" si="4"/>
        <v>33.89976094876905</v>
      </c>
      <c r="E25" s="42">
        <f t="shared" si="5"/>
        <v>0.1784771681819122</v>
      </c>
      <c r="F25" s="21" t="s">
        <v>26</v>
      </c>
    </row>
    <row r="26" spans="1:7" ht="15.75" customHeight="1" x14ac:dyDescent="0.2">
      <c r="A26" s="16">
        <f t="shared" si="1"/>
        <v>3.5116104247359496</v>
      </c>
      <c r="B26" s="16">
        <f t="shared" si="2"/>
        <v>6.0578971949369045</v>
      </c>
      <c r="C26" s="16">
        <f t="shared" si="3"/>
        <v>6.7136964696544599</v>
      </c>
      <c r="D26" s="40">
        <f t="shared" si="4"/>
        <v>33.934140718574518</v>
      </c>
      <c r="E26" s="42">
        <f t="shared" si="5"/>
        <v>0.17851924541648981</v>
      </c>
      <c r="F26" s="21" t="s">
        <v>27</v>
      </c>
    </row>
    <row r="27" spans="1:7" ht="15.75" customHeight="1" x14ac:dyDescent="0.2">
      <c r="A27" s="16">
        <f t="shared" si="1"/>
        <v>3.5451934031258237</v>
      </c>
      <c r="B27" s="16">
        <f t="shared" si="2"/>
        <v>6.0239164158903487</v>
      </c>
      <c r="C27" s="16">
        <f t="shared" si="3"/>
        <v>6.559694600365769</v>
      </c>
      <c r="D27" s="40">
        <f t="shared" si="4"/>
        <v>34.096462326288474</v>
      </c>
      <c r="E27" s="42">
        <f t="shared" si="5"/>
        <v>0.17667276910560575</v>
      </c>
      <c r="F27" s="21" t="s">
        <v>28</v>
      </c>
    </row>
    <row r="28" spans="1:7" ht="15.75" customHeight="1" x14ac:dyDescent="0.2">
      <c r="A28" s="15" t="s">
        <v>42</v>
      </c>
      <c r="B28" s="15" t="s">
        <v>41</v>
      </c>
      <c r="C28" s="15" t="s">
        <v>42</v>
      </c>
      <c r="D28" s="15" t="s">
        <v>42</v>
      </c>
      <c r="E28" s="19" t="s">
        <v>42</v>
      </c>
      <c r="F28" s="19" t="s">
        <v>45</v>
      </c>
    </row>
    <row r="29" spans="1:7" ht="15.75" customHeight="1" x14ac:dyDescent="0.2">
      <c r="A29" s="22">
        <f>AVERAGE(A16:A27)</f>
        <v>3.5306314027707244</v>
      </c>
      <c r="B29" s="22">
        <f>AVERAGE(B16:B27)</f>
        <v>6.1153040114932686</v>
      </c>
      <c r="C29" s="22">
        <f>AVERAGE(C16:C27)</f>
        <v>6.5586994526891296</v>
      </c>
      <c r="D29" s="22">
        <f>AVERAGE(D16:D27)</f>
        <v>33.785781302694623</v>
      </c>
      <c r="E29" s="41">
        <f>AVERAGE(E16:E27)</f>
        <v>0.18102421128358762</v>
      </c>
    </row>
  </sheetData>
  <phoneticPr fontId="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A96EAE-F3FD-441A-AA6B-E233BAABD7E8}">
  <sheetPr>
    <tabColor rgb="FFFFFF00"/>
  </sheetPr>
  <dimension ref="A1:D15"/>
  <sheetViews>
    <sheetView workbookViewId="0">
      <selection activeCell="E16" sqref="E16"/>
    </sheetView>
  </sheetViews>
  <sheetFormatPr defaultRowHeight="12.75" x14ac:dyDescent="0.2"/>
  <cols>
    <col min="1" max="1" width="28.85546875" bestFit="1" customWidth="1"/>
    <col min="2" max="2" width="9.140625" style="18"/>
    <col min="4" max="4" width="11.140625" bestFit="1" customWidth="1"/>
  </cols>
  <sheetData>
    <row r="1" spans="1:4" ht="13.5" thickBot="1" x14ac:dyDescent="0.25">
      <c r="A1" s="62" t="s">
        <v>32</v>
      </c>
      <c r="B1" s="62"/>
      <c r="C1" s="62"/>
      <c r="D1" s="62"/>
    </row>
    <row r="2" spans="1:4" x14ac:dyDescent="0.2">
      <c r="A2" s="25" t="s">
        <v>7</v>
      </c>
      <c r="B2" s="33" t="s">
        <v>8</v>
      </c>
      <c r="C2" s="8"/>
      <c r="D2" s="61" t="s">
        <v>86</v>
      </c>
    </row>
    <row r="3" spans="1:4" x14ac:dyDescent="0.2">
      <c r="A3" s="20" t="s">
        <v>52</v>
      </c>
      <c r="B3" s="34">
        <f>IF($D$3="Base Case",SCENERIO!C8,IF($D$3="Worst Case",SCENERIO!B8,SCENERIO!D8))</f>
        <v>2.5</v>
      </c>
      <c r="D3" s="14" t="s">
        <v>61</v>
      </c>
    </row>
    <row r="4" spans="1:4" x14ac:dyDescent="0.2">
      <c r="A4" s="20" t="s">
        <v>33</v>
      </c>
      <c r="B4" s="34">
        <f>IF($D$3="Base Case",SCENERIO!C9,IF($D$3="Worst Case",SCENERIO!B9,SCENERIO!D9))</f>
        <v>10</v>
      </c>
    </row>
    <row r="5" spans="1:4" x14ac:dyDescent="0.2">
      <c r="A5" s="20" t="s">
        <v>36</v>
      </c>
      <c r="B5" s="35">
        <v>0.3</v>
      </c>
    </row>
    <row r="6" spans="1:4" x14ac:dyDescent="0.2">
      <c r="A6" s="20" t="s">
        <v>34</v>
      </c>
      <c r="B6" s="35">
        <v>0.2</v>
      </c>
    </row>
    <row r="7" spans="1:4" x14ac:dyDescent="0.2">
      <c r="A7" s="20" t="s">
        <v>35</v>
      </c>
      <c r="B7" s="35">
        <f>IF($D$3="Base Case",SCENERIO!C6,IF($D$3="Worst Case",SCENERIO!B6,SCENERIO!D6))</f>
        <v>0.08</v>
      </c>
    </row>
    <row r="8" spans="1:4" x14ac:dyDescent="0.2">
      <c r="A8" s="20" t="s">
        <v>37</v>
      </c>
      <c r="B8" s="35">
        <f>IF($D$3="Base Case",SCENERIO!C7,IF($D$3="Worst Case",SCENERIO!B7,SCENERIO!D7))</f>
        <v>0.03</v>
      </c>
    </row>
    <row r="9" spans="1:4" x14ac:dyDescent="0.2">
      <c r="A9" s="20" t="s">
        <v>38</v>
      </c>
      <c r="B9" s="16">
        <f>1</f>
        <v>1</v>
      </c>
    </row>
    <row r="10" spans="1:4" x14ac:dyDescent="0.2">
      <c r="A10" s="20" t="s">
        <v>39</v>
      </c>
      <c r="B10" s="34">
        <f>1000</f>
        <v>1000</v>
      </c>
    </row>
    <row r="11" spans="1:4" x14ac:dyDescent="0.2">
      <c r="A11" s="20" t="s">
        <v>53</v>
      </c>
      <c r="B11" s="16">
        <f>IF($D$3="Base Case",SCENERIO!C10,IF($D$3="Worst Case",SCENERIO!B10,SCENERIO!D10))</f>
        <v>4</v>
      </c>
    </row>
    <row r="12" spans="1:4" x14ac:dyDescent="0.2">
      <c r="A12" s="20" t="s">
        <v>54</v>
      </c>
      <c r="B12" s="16">
        <f>Data!B29</f>
        <v>6.1153040114932686</v>
      </c>
    </row>
    <row r="13" spans="1:4" x14ac:dyDescent="0.2">
      <c r="A13" s="20" t="s">
        <v>51</v>
      </c>
      <c r="B13" s="35">
        <f>Data!E29</f>
        <v>0.18102421128358762</v>
      </c>
    </row>
    <row r="14" spans="1:4" x14ac:dyDescent="0.2">
      <c r="A14" s="20" t="s">
        <v>55</v>
      </c>
      <c r="B14" s="16">
        <f>Data!D29</f>
        <v>33.785781302694623</v>
      </c>
    </row>
    <row r="15" spans="1:4" x14ac:dyDescent="0.2">
      <c r="A15" s="20" t="s">
        <v>9</v>
      </c>
      <c r="B15" s="16">
        <f>Data!C29</f>
        <v>6.5586994526891296</v>
      </c>
    </row>
  </sheetData>
  <mergeCells count="1">
    <mergeCell ref="A1:D1"/>
  </mergeCells>
  <dataValidations count="1">
    <dataValidation type="list" allowBlank="1" showInputMessage="1" showErrorMessage="1" sqref="D3" xr:uid="{86171206-C363-4270-B465-AC76B0242A33}">
      <formula1>"Worst Case,Base Case,Best Case"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93A974-993D-48AB-96C1-02E28DC1A623}">
  <sheetPr>
    <tabColor rgb="FF92D050"/>
  </sheetPr>
  <dimension ref="A1:M32"/>
  <sheetViews>
    <sheetView workbookViewId="0">
      <selection activeCell="D43" sqref="D43"/>
    </sheetView>
  </sheetViews>
  <sheetFormatPr defaultRowHeight="12.75" x14ac:dyDescent="0.2"/>
  <cols>
    <col min="1" max="1" width="23.140625" bestFit="1" customWidth="1"/>
    <col min="2" max="3" width="11.7109375" bestFit="1" customWidth="1"/>
    <col min="4" max="8" width="11.42578125" bestFit="1" customWidth="1"/>
    <col min="9" max="9" width="12.7109375" bestFit="1" customWidth="1"/>
    <col min="10" max="10" width="12.5703125" bestFit="1" customWidth="1"/>
    <col min="11" max="11" width="11.7109375" bestFit="1" customWidth="1"/>
    <col min="12" max="13" width="12.7109375" bestFit="1" customWidth="1"/>
  </cols>
  <sheetData>
    <row r="1" spans="1:13" x14ac:dyDescent="0.2">
      <c r="A1" s="30" t="s">
        <v>43</v>
      </c>
    </row>
    <row r="2" spans="1:13" x14ac:dyDescent="0.2">
      <c r="B2" s="23">
        <v>45474</v>
      </c>
      <c r="C2" s="23">
        <v>45505</v>
      </c>
      <c r="D2" s="23">
        <v>45536</v>
      </c>
      <c r="E2" s="23">
        <v>45566</v>
      </c>
      <c r="F2" s="23">
        <v>45597</v>
      </c>
      <c r="G2" s="23">
        <v>45627</v>
      </c>
      <c r="H2" s="23">
        <v>45658</v>
      </c>
      <c r="I2" s="23">
        <v>45689</v>
      </c>
      <c r="J2" s="23">
        <v>45717</v>
      </c>
      <c r="K2" s="23">
        <v>45748</v>
      </c>
      <c r="L2" s="23">
        <v>45778</v>
      </c>
      <c r="M2" s="23">
        <v>45809</v>
      </c>
    </row>
    <row r="3" spans="1:13" x14ac:dyDescent="0.2">
      <c r="A3" s="21" t="s">
        <v>44</v>
      </c>
      <c r="B3" s="13">
        <f>10000</f>
        <v>10000</v>
      </c>
      <c r="C3" s="13">
        <f>B3+ASSUMPTIONS!$B$10</f>
        <v>11000</v>
      </c>
      <c r="D3" s="13">
        <f>C3+ASSUMPTIONS!$B$10</f>
        <v>12000</v>
      </c>
      <c r="E3" s="13">
        <f>D3+ASSUMPTIONS!$B$10</f>
        <v>13000</v>
      </c>
      <c r="F3" s="13">
        <f>E3+ASSUMPTIONS!$B$10</f>
        <v>14000</v>
      </c>
      <c r="G3" s="13">
        <f>F3+ASSUMPTIONS!$B$10</f>
        <v>15000</v>
      </c>
      <c r="H3" s="13">
        <f>G3+ASSUMPTIONS!$B$10</f>
        <v>16000</v>
      </c>
      <c r="I3" s="13">
        <f>H3+ASSUMPTIONS!$B$10</f>
        <v>17000</v>
      </c>
      <c r="J3" s="13">
        <f>I3+ASSUMPTIONS!$B$10</f>
        <v>18000</v>
      </c>
      <c r="K3" s="13">
        <f>J3+ASSUMPTIONS!$B$10</f>
        <v>19000</v>
      </c>
      <c r="L3" s="13">
        <f>K3+ASSUMPTIONS!$B$10</f>
        <v>20000</v>
      </c>
      <c r="M3" s="13">
        <f>L3+ASSUMPTIONS!$B$10</f>
        <v>21000</v>
      </c>
    </row>
    <row r="4" spans="1:13" x14ac:dyDescent="0.2">
      <c r="A4" s="21" t="str">
        <f>Data!F16&amp;" "&amp;Data!$F$28</f>
        <v>Jul Churn</v>
      </c>
      <c r="B4" s="13">
        <f>B3*(1-ASSUMPTIONS!$B$5)</f>
        <v>7000</v>
      </c>
      <c r="C4" s="24">
        <f>B4*(1-ASSUMPTIONS!$B$5)</f>
        <v>4900</v>
      </c>
      <c r="D4" s="24">
        <f>C4*(1-ASSUMPTIONS!$B$6)</f>
        <v>3920</v>
      </c>
      <c r="E4" s="24">
        <f>D4*(1-ASSUMPTIONS!$B$7)</f>
        <v>3606.4</v>
      </c>
      <c r="F4" s="24">
        <f>E4*(1-ASSUMPTIONS!$B$7)</f>
        <v>3317.8880000000004</v>
      </c>
      <c r="G4" s="24">
        <f>F4*(1-ASSUMPTIONS!$B$7)</f>
        <v>3052.4569600000004</v>
      </c>
      <c r="H4" s="24">
        <f>G4*(1-ASSUMPTIONS!$B$7)</f>
        <v>2808.2604032000004</v>
      </c>
      <c r="I4" s="24">
        <f>H4*(1-ASSUMPTIONS!$B$7)</f>
        <v>2583.5995709440003</v>
      </c>
      <c r="J4" s="24">
        <f>I4*(1-ASSUMPTIONS!$B$7)</f>
        <v>2376.9116052684803</v>
      </c>
      <c r="K4" s="24">
        <f>(J4*(1-(ASSUMPTIONS!$B$7+ASSUMPTIONS!$B$8)))</f>
        <v>2115.4513286889473</v>
      </c>
      <c r="L4" s="24">
        <f>(K4*(1-(ASSUMPTIONS!$B$7+ASSUMPTIONS!$B$8)))</f>
        <v>1882.7516825331631</v>
      </c>
      <c r="M4" s="24">
        <f>(L4*(1-(ASSUMPTIONS!$B$7+ASSUMPTIONS!$B$8)))</f>
        <v>1675.6489974545152</v>
      </c>
    </row>
    <row r="5" spans="1:13" x14ac:dyDescent="0.2">
      <c r="A5" s="21" t="str">
        <f>Data!F17&amp;" "&amp;Data!$F$28</f>
        <v>Aug Churn</v>
      </c>
      <c r="B5" s="13"/>
      <c r="C5" s="13">
        <f>C3*(1-ASSUMPTIONS!$B$5)</f>
        <v>7699.9999999999991</v>
      </c>
      <c r="D5" s="13">
        <f>C5*(1-ASSUMPTIONS!$B$5)</f>
        <v>5389.9999999999991</v>
      </c>
      <c r="E5" s="13">
        <f>D5*(1-ASSUMPTIONS!$B$6)</f>
        <v>4311.9999999999991</v>
      </c>
      <c r="F5" s="13">
        <f>E5*(1-ASSUMPTIONS!$B$7)</f>
        <v>3967.0399999999995</v>
      </c>
      <c r="G5" s="13">
        <f>F5*(1-ASSUMPTIONS!$B$7)</f>
        <v>3649.6767999999997</v>
      </c>
      <c r="H5" s="13">
        <f>G5*(1-ASSUMPTIONS!$B$7)</f>
        <v>3357.7026559999999</v>
      </c>
      <c r="I5" s="13">
        <f>H5*(1-ASSUMPTIONS!$B$7)</f>
        <v>3089.0864435200001</v>
      </c>
      <c r="J5" s="24">
        <f>I5*(1-ASSUMPTIONS!$B$7)</f>
        <v>2841.9595280384001</v>
      </c>
      <c r="K5" s="24">
        <f>(J5*(1-(ASSUMPTIONS!$B$7+ASSUMPTIONS!$B$8)))</f>
        <v>2529.3439799541761</v>
      </c>
      <c r="L5" s="24">
        <f>(K5*(1-(ASSUMPTIONS!$B$7+ASSUMPTIONS!$B$8)))</f>
        <v>2251.1161421592169</v>
      </c>
      <c r="M5" s="24">
        <f>(L5*(1-(ASSUMPTIONS!$B$7+ASSUMPTIONS!$B$8)))</f>
        <v>2003.4933665217031</v>
      </c>
    </row>
    <row r="6" spans="1:13" x14ac:dyDescent="0.2">
      <c r="A6" s="21" t="str">
        <f>Data!F18&amp;" "&amp;Data!$F$28</f>
        <v>Sep Churn</v>
      </c>
      <c r="B6" s="13"/>
      <c r="C6" s="13"/>
      <c r="D6" s="13">
        <f>D3*(1-ASSUMPTIONS!$B$5)</f>
        <v>8400</v>
      </c>
      <c r="E6" s="13">
        <f>D6*(1-ASSUMPTIONS!$B$5)</f>
        <v>5880</v>
      </c>
      <c r="F6" s="13">
        <f>E6*(1-ASSUMPTIONS!$B$6)</f>
        <v>4704</v>
      </c>
      <c r="G6" s="13">
        <f>F6*(1-ASSUMPTIONS!$B$7)</f>
        <v>4327.68</v>
      </c>
      <c r="H6" s="13">
        <f>G6*(1-ASSUMPTIONS!$B$7)</f>
        <v>3981.4656000000004</v>
      </c>
      <c r="I6" s="13">
        <f>H6*(1-ASSUMPTIONS!$B$7)</f>
        <v>3662.9483520000008</v>
      </c>
      <c r="J6" s="13">
        <f>I6*(1-ASSUMPTIONS!$B$7)</f>
        <v>3369.9124838400007</v>
      </c>
      <c r="K6" s="24">
        <f>(J6*(1-(ASSUMPTIONS!$B$7+ASSUMPTIONS!$B$8)))</f>
        <v>2999.2221106176007</v>
      </c>
      <c r="L6" s="24">
        <f>(K6*(1-(ASSUMPTIONS!$B$7+ASSUMPTIONS!$B$8)))</f>
        <v>2669.3076784496648</v>
      </c>
      <c r="M6" s="24">
        <f>(L6*(1-(ASSUMPTIONS!$B$7+ASSUMPTIONS!$B$8)))</f>
        <v>2375.6838338202015</v>
      </c>
    </row>
    <row r="7" spans="1:13" x14ac:dyDescent="0.2">
      <c r="A7" s="21" t="str">
        <f>Data!F19&amp;" "&amp;Data!$F$28</f>
        <v>Oct Churn</v>
      </c>
      <c r="B7" s="13"/>
      <c r="C7" s="13"/>
      <c r="D7" s="13"/>
      <c r="E7" s="13">
        <f>E3*(1-ASSUMPTIONS!$B$5)</f>
        <v>9100</v>
      </c>
      <c r="F7" s="13">
        <f>E7*(1-ASSUMPTIONS!$B$5)</f>
        <v>6370</v>
      </c>
      <c r="G7" s="13">
        <f>F7*(1-ASSUMPTIONS!$B$6)</f>
        <v>5096</v>
      </c>
      <c r="H7" s="13">
        <f>G7*(1-ASSUMPTIONS!$B$7)</f>
        <v>4688.3200000000006</v>
      </c>
      <c r="I7" s="13">
        <f>H7*(1-ASSUMPTIONS!$B$7)</f>
        <v>4313.2544000000007</v>
      </c>
      <c r="J7" s="13">
        <f>I7*(1-ASSUMPTIONS!$B$7)</f>
        <v>3968.1940480000007</v>
      </c>
      <c r="K7" s="24">
        <f>(J7*(1-(ASSUMPTIONS!$B$7+ASSUMPTIONS!$B$8)))</f>
        <v>3531.6927027200009</v>
      </c>
      <c r="L7" s="24">
        <f>(K7*(1-(ASSUMPTIONS!$B$7+ASSUMPTIONS!$B$8)))</f>
        <v>3143.206505420801</v>
      </c>
      <c r="M7" s="24">
        <f>(L7*(1-(ASSUMPTIONS!$B$7+ASSUMPTIONS!$B$8)))</f>
        <v>2797.453789824513</v>
      </c>
    </row>
    <row r="8" spans="1:13" x14ac:dyDescent="0.2">
      <c r="A8" s="21" t="str">
        <f>Data!F20&amp;" "&amp;Data!$F$28</f>
        <v>Nov Churn</v>
      </c>
      <c r="B8" s="13"/>
      <c r="C8" s="25"/>
      <c r="D8" s="13"/>
      <c r="E8" s="13"/>
      <c r="F8" s="13">
        <f>F3*(1-ASSUMPTIONS!$B$5)</f>
        <v>9800</v>
      </c>
      <c r="G8" s="13">
        <f>F8*(1-ASSUMPTIONS!$B$5)</f>
        <v>6860</v>
      </c>
      <c r="H8" s="13">
        <f>G8*(1-ASSUMPTIONS!$B$6)</f>
        <v>5488</v>
      </c>
      <c r="I8" s="13">
        <f>H8*(1-ASSUMPTIONS!$B$7)</f>
        <v>5048.96</v>
      </c>
      <c r="J8" s="13">
        <f>I8*(1-ASSUMPTIONS!$B$7)</f>
        <v>4645.0432000000001</v>
      </c>
      <c r="K8" s="24">
        <f>(J8*(1-(ASSUMPTIONS!$B$7+ASSUMPTIONS!$B$8)))</f>
        <v>4134.0884480000004</v>
      </c>
      <c r="L8" s="24">
        <f>(K8*(1-(ASSUMPTIONS!$B$7+ASSUMPTIONS!$B$8)))</f>
        <v>3679.3387187200005</v>
      </c>
      <c r="M8" s="24">
        <f>(L8*(1-(ASSUMPTIONS!$B$7+ASSUMPTIONS!$B$8)))</f>
        <v>3274.6114596608004</v>
      </c>
    </row>
    <row r="9" spans="1:13" x14ac:dyDescent="0.2">
      <c r="A9" s="21" t="str">
        <f>Data!F21&amp;" "&amp;Data!$F$28</f>
        <v>Dec Churn</v>
      </c>
      <c r="B9" s="13"/>
      <c r="C9" s="13"/>
      <c r="D9" s="13"/>
      <c r="E9" s="13"/>
      <c r="F9" s="13"/>
      <c r="G9" s="13">
        <f>G3*(1-ASSUMPTIONS!$B$5)</f>
        <v>10500</v>
      </c>
      <c r="H9" s="13">
        <f>G9*(1-ASSUMPTIONS!$B$5)</f>
        <v>7349.9999999999991</v>
      </c>
      <c r="I9" s="13">
        <f>H9*(1-ASSUMPTIONS!$B$6)</f>
        <v>5880</v>
      </c>
      <c r="J9" s="13">
        <f>I9*(1-ASSUMPTIONS!$B$7)</f>
        <v>5409.6</v>
      </c>
      <c r="K9" s="24">
        <f>(J9*(1-(ASSUMPTIONS!$B$7+ASSUMPTIONS!$B$8)))</f>
        <v>4814.5440000000008</v>
      </c>
      <c r="L9" s="24">
        <f>(K9*(1-(ASSUMPTIONS!$B$7+ASSUMPTIONS!$B$8)))</f>
        <v>4284.9441600000009</v>
      </c>
      <c r="M9" s="24">
        <f>(L9*(1-(ASSUMPTIONS!$B$7+ASSUMPTIONS!$B$8)))</f>
        <v>3813.6003024000011</v>
      </c>
    </row>
    <row r="10" spans="1:13" x14ac:dyDescent="0.2">
      <c r="A10" s="21" t="str">
        <f>Data!F22&amp;" "&amp;Data!$F$28</f>
        <v>Jan Churn</v>
      </c>
      <c r="B10" s="13"/>
      <c r="C10" s="13"/>
      <c r="D10" s="13"/>
      <c r="E10" s="13"/>
      <c r="F10" s="13"/>
      <c r="G10" s="13"/>
      <c r="H10" s="13">
        <f>H3*(1-ASSUMPTIONS!$B$5)</f>
        <v>11200</v>
      </c>
      <c r="I10" s="13">
        <f>H10*(1-ASSUMPTIONS!$B$5)</f>
        <v>7839.9999999999991</v>
      </c>
      <c r="J10" s="13">
        <f>I10*(1-ASSUMPTIONS!$B$6)</f>
        <v>6272</v>
      </c>
      <c r="K10" s="24">
        <f>(J10*(1-(ASSUMPTIONS!$B$7+ASSUMPTIONS!$B$8)))</f>
        <v>5582.08</v>
      </c>
      <c r="L10" s="24">
        <f>(K10*(1-(ASSUMPTIONS!$B$7+ASSUMPTIONS!$B$8)))</f>
        <v>4968.0511999999999</v>
      </c>
      <c r="M10" s="24">
        <f>(L10*(1-(ASSUMPTIONS!$B$7+ASSUMPTIONS!$B$8)))</f>
        <v>4421.565568</v>
      </c>
    </row>
    <row r="11" spans="1:13" x14ac:dyDescent="0.2">
      <c r="A11" s="21" t="str">
        <f>Data!F23&amp;" "&amp;Data!$F$28</f>
        <v>Feb Churn</v>
      </c>
      <c r="B11" s="13"/>
      <c r="C11" s="13"/>
      <c r="D11" s="13"/>
      <c r="E11" s="13"/>
      <c r="F11" s="13"/>
      <c r="G11" s="13"/>
      <c r="H11" s="13"/>
      <c r="I11" s="13">
        <f>I3*(1-ASSUMPTIONS!$B$5)</f>
        <v>11900</v>
      </c>
      <c r="J11" s="13">
        <f>I11*(1-ASSUMPTIONS!$B$5)</f>
        <v>8330</v>
      </c>
      <c r="K11" s="24">
        <f>(J11*(1-(ASSUMPTIONS!$B$6+ASSUMPTIONS!$B$8)))</f>
        <v>6414.1</v>
      </c>
      <c r="L11" s="24">
        <f>(K11*(1-(ASSUMPTIONS!$B$7+ASSUMPTIONS!$B$8)))</f>
        <v>5708.549</v>
      </c>
      <c r="M11" s="24">
        <f>(L11*(1-(ASSUMPTIONS!$B$7+ASSUMPTIONS!$B$8)))</f>
        <v>5080.6086100000002</v>
      </c>
    </row>
    <row r="12" spans="1:13" x14ac:dyDescent="0.2">
      <c r="A12" s="21" t="str">
        <f>Data!F24&amp;" "&amp;Data!$F$28</f>
        <v>Mar Churn</v>
      </c>
      <c r="B12" s="13"/>
      <c r="C12" s="13"/>
      <c r="D12" s="13"/>
      <c r="E12" s="13"/>
      <c r="F12" s="13"/>
      <c r="G12" s="13"/>
      <c r="H12" s="13"/>
      <c r="I12" s="13"/>
      <c r="J12" s="13">
        <f>J3*(1-ASSUMPTIONS!$B$5)</f>
        <v>12600</v>
      </c>
      <c r="K12" s="24">
        <f>(J12*(1-(ASSUMPTIONS!$B$5+ASSUMPTIONS!$B$8)))</f>
        <v>8442</v>
      </c>
      <c r="L12" s="24">
        <f>(K12*(1-(ASSUMPTIONS!$B$6+ASSUMPTIONS!$B$8)))</f>
        <v>6500.34</v>
      </c>
      <c r="M12" s="24">
        <f>(L12*(1-(ASSUMPTIONS!$B$7+ASSUMPTIONS!$B$8)))</f>
        <v>5785.3026</v>
      </c>
    </row>
    <row r="13" spans="1:13" x14ac:dyDescent="0.2">
      <c r="A13" s="21" t="str">
        <f>Data!F25&amp;" "&amp;Data!$F$28</f>
        <v>Apr Churn</v>
      </c>
      <c r="B13" s="13"/>
      <c r="C13" s="13"/>
      <c r="D13" s="13"/>
      <c r="E13" s="13"/>
      <c r="F13" s="13"/>
      <c r="G13" s="13"/>
      <c r="H13" s="13"/>
      <c r="I13" s="13"/>
      <c r="J13" s="13"/>
      <c r="K13" s="24">
        <f>(K3*(1-(ASSUMPTIONS!$B$5+ASSUMPTIONS!$B$8)))</f>
        <v>12730</v>
      </c>
      <c r="L13" s="24">
        <f>(K13*(1-(ASSUMPTIONS!$B$5+ASSUMPTIONS!$B$8)))</f>
        <v>8529.1</v>
      </c>
      <c r="M13" s="24">
        <f>(L13*(1-(ASSUMPTIONS!$B$6+ASSUMPTIONS!$B$8)))</f>
        <v>6567.4070000000002</v>
      </c>
    </row>
    <row r="14" spans="1:13" x14ac:dyDescent="0.2">
      <c r="A14" s="21" t="str">
        <f>Data!F26&amp;" "&amp;Data!$F$28</f>
        <v>May Churn</v>
      </c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24">
        <f>(L3*(1-(ASSUMPTIONS!$B$5+ASSUMPTIONS!$B$8)))</f>
        <v>13400</v>
      </c>
      <c r="M14" s="24">
        <f>(L14*(1-(ASSUMPTIONS!$B$5+ASSUMPTIONS!$B$8)))</f>
        <v>8978</v>
      </c>
    </row>
    <row r="15" spans="1:13" ht="13.5" thickBot="1" x14ac:dyDescent="0.25">
      <c r="A15" s="21" t="str">
        <f>Data!F27&amp;" "&amp;Data!$F$28</f>
        <v>Jun Churn</v>
      </c>
      <c r="B15" s="27"/>
      <c r="C15" s="27"/>
      <c r="D15" s="27"/>
      <c r="E15" s="27"/>
      <c r="F15" s="27"/>
      <c r="G15" s="27"/>
      <c r="H15" s="27"/>
      <c r="I15" s="27"/>
      <c r="J15" s="27"/>
      <c r="K15" s="27"/>
      <c r="L15" s="27"/>
      <c r="M15" s="24">
        <f>(M3*(1-(ASSUMPTIONS!$B$5+ASSUMPTIONS!$B$8)))</f>
        <v>14070</v>
      </c>
    </row>
    <row r="16" spans="1:13" ht="13.5" thickBot="1" x14ac:dyDescent="0.25">
      <c r="A16" s="26" t="s">
        <v>10</v>
      </c>
      <c r="B16" s="28">
        <f>SUM(B4:B15)</f>
        <v>7000</v>
      </c>
      <c r="C16" s="28">
        <f t="shared" ref="C16:L16" si="0">SUM(C4:C15)</f>
        <v>12600</v>
      </c>
      <c r="D16" s="28">
        <f t="shared" si="0"/>
        <v>17710</v>
      </c>
      <c r="E16" s="28">
        <f t="shared" si="0"/>
        <v>22898.400000000001</v>
      </c>
      <c r="F16" s="28">
        <f t="shared" si="0"/>
        <v>28158.928</v>
      </c>
      <c r="G16" s="28">
        <f t="shared" si="0"/>
        <v>33485.813760000005</v>
      </c>
      <c r="H16" s="28">
        <f t="shared" si="0"/>
        <v>38873.748659200006</v>
      </c>
      <c r="I16" s="28">
        <f t="shared" si="0"/>
        <v>44317.848766463998</v>
      </c>
      <c r="J16" s="28">
        <f t="shared" si="0"/>
        <v>49813.620865146884</v>
      </c>
      <c r="K16" s="28">
        <f t="shared" si="0"/>
        <v>53292.522569980727</v>
      </c>
      <c r="L16" s="29">
        <f t="shared" si="0"/>
        <v>57016.705087282848</v>
      </c>
      <c r="M16" s="29">
        <f>SUM(M4:M15)</f>
        <v>60843.375527681732</v>
      </c>
    </row>
    <row r="17" spans="1:13" x14ac:dyDescent="0.2">
      <c r="A17" s="17"/>
    </row>
    <row r="18" spans="1:13" x14ac:dyDescent="0.2">
      <c r="A18" s="31" t="s">
        <v>11</v>
      </c>
      <c r="B18" s="13">
        <f>B16*ASSUMPTIONS!$B$3</f>
        <v>17500</v>
      </c>
      <c r="C18" s="13">
        <f>C16*ASSUMPTIONS!$B$3</f>
        <v>31500</v>
      </c>
      <c r="D18" s="13">
        <f>D16*ASSUMPTIONS!$B$3</f>
        <v>44275</v>
      </c>
      <c r="E18" s="13">
        <f>E16*ASSUMPTIONS!$B$3</f>
        <v>57246</v>
      </c>
      <c r="F18" s="13">
        <f>F16*ASSUMPTIONS!$B$3</f>
        <v>70397.320000000007</v>
      </c>
      <c r="G18" s="13">
        <f>G16*ASSUMPTIONS!$B$3</f>
        <v>83714.534400000004</v>
      </c>
      <c r="H18" s="13">
        <f>H16*ASSUMPTIONS!$B$3</f>
        <v>97184.371648000015</v>
      </c>
      <c r="I18" s="13">
        <f>I16*ASSUMPTIONS!$B$3</f>
        <v>110794.62191615999</v>
      </c>
      <c r="J18" s="13">
        <f>J16*ASSUMPTIONS!$B$3</f>
        <v>124534.05216286721</v>
      </c>
      <c r="K18" s="13">
        <f>K16*ASSUMPTIONS!$B$3</f>
        <v>133231.30642495182</v>
      </c>
      <c r="L18" s="13">
        <f>L16*ASSUMPTIONS!$B$3</f>
        <v>142541.76271820712</v>
      </c>
      <c r="M18" s="24">
        <f>M16*ASSUMPTIONS!$B$3</f>
        <v>152108.43881920434</v>
      </c>
    </row>
    <row r="20" spans="1:13" x14ac:dyDescent="0.2">
      <c r="A20" s="32" t="s">
        <v>12</v>
      </c>
    </row>
    <row r="21" spans="1:13" x14ac:dyDescent="0.2">
      <c r="A21" s="20" t="s">
        <v>3</v>
      </c>
      <c r="B21" s="36">
        <f>B18*ASSUMPTIONS!$B$11</f>
        <v>70000</v>
      </c>
      <c r="C21" s="36">
        <f>C18*ASSUMPTIONS!$B$11</f>
        <v>126000</v>
      </c>
      <c r="D21" s="36">
        <f>D18*ASSUMPTIONS!$B$11</f>
        <v>177100</v>
      </c>
      <c r="E21" s="36">
        <f>E18*ASSUMPTIONS!$B$11</f>
        <v>228984</v>
      </c>
      <c r="F21" s="36">
        <f>F18*ASSUMPTIONS!$B$11</f>
        <v>281589.28000000003</v>
      </c>
      <c r="G21" s="36">
        <f>G18*ASSUMPTIONS!$B$11</f>
        <v>334858.13760000002</v>
      </c>
      <c r="H21" s="36">
        <f>H18*ASSUMPTIONS!$B$11</f>
        <v>388737.48659200006</v>
      </c>
      <c r="I21" s="36">
        <f>I18*ASSUMPTIONS!$B$11</f>
        <v>443178.48766463995</v>
      </c>
      <c r="J21" s="36">
        <f>J18*ASSUMPTIONS!$B$11</f>
        <v>498136.20865146886</v>
      </c>
      <c r="K21" s="36">
        <f>K18*ASSUMPTIONS!$B$9</f>
        <v>133231.30642495182</v>
      </c>
      <c r="L21" s="36">
        <f>L18*ASSUMPTIONS!$B$9</f>
        <v>142541.76271820712</v>
      </c>
      <c r="M21" s="36">
        <f>M18*ASSUMPTIONS!$B$9</f>
        <v>152108.43881920434</v>
      </c>
    </row>
    <row r="22" spans="1:13" x14ac:dyDescent="0.2">
      <c r="A22" s="20" t="s">
        <v>46</v>
      </c>
      <c r="B22" s="36">
        <f>ASSUMPTIONS!$B$14</f>
        <v>33.785781302694623</v>
      </c>
      <c r="C22" s="36">
        <f>ASSUMPTIONS!$B$14</f>
        <v>33.785781302694623</v>
      </c>
      <c r="D22" s="36">
        <f>ASSUMPTIONS!$B$14</f>
        <v>33.785781302694623</v>
      </c>
      <c r="E22" s="36">
        <f>ASSUMPTIONS!$B$14</f>
        <v>33.785781302694623</v>
      </c>
      <c r="F22" s="36">
        <f>ASSUMPTIONS!$B$14</f>
        <v>33.785781302694623</v>
      </c>
      <c r="G22" s="36">
        <f>ASSUMPTIONS!$B$14</f>
        <v>33.785781302694623</v>
      </c>
      <c r="H22" s="36">
        <f>ASSUMPTIONS!$B$14</f>
        <v>33.785781302694623</v>
      </c>
      <c r="I22" s="36">
        <f>ASSUMPTIONS!$B$14</f>
        <v>33.785781302694623</v>
      </c>
      <c r="J22" s="36">
        <f>ASSUMPTIONS!$B$14</f>
        <v>33.785781302694623</v>
      </c>
      <c r="K22" s="36">
        <f>ASSUMPTIONS!$B$14</f>
        <v>33.785781302694623</v>
      </c>
      <c r="L22" s="36">
        <f>ASSUMPTIONS!$B$14</f>
        <v>33.785781302694623</v>
      </c>
      <c r="M22" s="36">
        <f>ASSUMPTIONS!$B$14</f>
        <v>33.785781302694623</v>
      </c>
    </row>
    <row r="23" spans="1:13" ht="13.5" thickBot="1" x14ac:dyDescent="0.25">
      <c r="A23" s="20" t="s">
        <v>4</v>
      </c>
      <c r="B23" s="39">
        <f>B18*B22*ASSUMPTIONS!$B$13</f>
        <v>107030.77722610132</v>
      </c>
      <c r="C23" s="39">
        <f>C18*C22*ASSUMPTIONS!$B$13</f>
        <v>192655.39900698239</v>
      </c>
      <c r="D23" s="39">
        <f>D18*D22*ASSUMPTIONS!$B$13</f>
        <v>270787.86638203636</v>
      </c>
      <c r="E23" s="39">
        <f>E18*E22*ASSUMPTIONS!$B$13</f>
        <v>350119.07846202265</v>
      </c>
      <c r="F23" s="39">
        <f>F18*F22*ASSUMPTIONS!$B$13</f>
        <v>430553.13567054673</v>
      </c>
      <c r="G23" s="39">
        <f>G18*G22*ASSUMPTIONS!$B$13</f>
        <v>512001.81039732549</v>
      </c>
      <c r="H23" s="39">
        <f>H18*H22*ASSUMPTIONS!$B$13</f>
        <v>594383.93324089865</v>
      </c>
      <c r="I23" s="39">
        <f>I18*I22*ASSUMPTIONS!$B$13</f>
        <v>677624.82835192245</v>
      </c>
      <c r="J23" s="39">
        <f>J18*J22*ASSUMPTIONS!$B$13</f>
        <v>761655.79394900124</v>
      </c>
      <c r="K23" s="39">
        <f>K18*K22*ASSUMPTIONS!$B$13</f>
        <v>814848.58728636918</v>
      </c>
      <c r="L23" s="39">
        <f>L18*L22*ASSUMPTIONS!$B$13</f>
        <v>871791.75148046971</v>
      </c>
      <c r="M23" s="39">
        <f>M18*M22*ASSUMPTIONS!$B$13</f>
        <v>930301.96739818982</v>
      </c>
    </row>
    <row r="24" spans="1:13" ht="13.5" thickBot="1" x14ac:dyDescent="0.25">
      <c r="A24" s="37" t="s">
        <v>13</v>
      </c>
      <c r="B24" s="38">
        <f>SUM(B21:B23)</f>
        <v>177064.56300740401</v>
      </c>
      <c r="C24" s="38">
        <f t="shared" ref="C24:M24" si="1">SUM(C21:C23)</f>
        <v>318689.18478828506</v>
      </c>
      <c r="D24" s="38">
        <f t="shared" si="1"/>
        <v>447921.65216333908</v>
      </c>
      <c r="E24" s="38">
        <f t="shared" si="1"/>
        <v>579136.86424332531</v>
      </c>
      <c r="F24" s="38">
        <f t="shared" si="1"/>
        <v>712176.20145184943</v>
      </c>
      <c r="G24" s="38">
        <f t="shared" si="1"/>
        <v>846893.73377862829</v>
      </c>
      <c r="H24" s="38">
        <f t="shared" si="1"/>
        <v>983155.20561420149</v>
      </c>
      <c r="I24" s="38">
        <f t="shared" si="1"/>
        <v>1120837.1017978652</v>
      </c>
      <c r="J24" s="38">
        <f t="shared" si="1"/>
        <v>1259825.7883817728</v>
      </c>
      <c r="K24" s="38">
        <f t="shared" si="1"/>
        <v>948113.67949262366</v>
      </c>
      <c r="L24" s="38">
        <f t="shared" si="1"/>
        <v>1014367.2999799795</v>
      </c>
      <c r="M24" s="38">
        <f t="shared" si="1"/>
        <v>1082444.1919986969</v>
      </c>
    </row>
    <row r="26" spans="1:13" x14ac:dyDescent="0.2">
      <c r="A26" s="32" t="s">
        <v>47</v>
      </c>
    </row>
    <row r="27" spans="1:13" x14ac:dyDescent="0.2">
      <c r="A27" s="20" t="s">
        <v>5</v>
      </c>
      <c r="B27" s="36">
        <f>B18*ASSUMPTIONS!$B$15</f>
        <v>114777.24042205977</v>
      </c>
      <c r="C27" s="36">
        <f>C18*ASSUMPTIONS!$B$15</f>
        <v>206599.0327597076</v>
      </c>
      <c r="D27" s="36">
        <f>D18*ASSUMPTIONS!$B$15</f>
        <v>290386.41826781118</v>
      </c>
      <c r="E27" s="36">
        <f>E18*ASSUMPTIONS!$B$15</f>
        <v>375459.30886864191</v>
      </c>
      <c r="F27" s="36">
        <f>F18*ASSUMPTIONS!$B$15</f>
        <v>461714.86415478156</v>
      </c>
      <c r="G27" s="36">
        <f>G18*ASSUMPTIONS!$B$15</f>
        <v>549058.47095140535</v>
      </c>
      <c r="H27" s="36">
        <f>H18*ASSUMPTIONS!$B$15</f>
        <v>637403.0851376747</v>
      </c>
      <c r="I27" s="36">
        <f>I18*ASSUMPTIONS!$B$15</f>
        <v>726668.62612241751</v>
      </c>
      <c r="J27" s="36">
        <f>J18*ASSUMPTIONS!$B$15</f>
        <v>816781.41976175667</v>
      </c>
      <c r="K27" s="36">
        <f>K18*ASSUMPTIONS!$B$15</f>
        <v>873824.09653038927</v>
      </c>
      <c r="L27" s="36">
        <f>L18*ASSUMPTIONS!$B$15</f>
        <v>934888.58112524881</v>
      </c>
      <c r="M27" s="36">
        <f>M18*ASSUMPTIONS!$B$15</f>
        <v>997633.53443291341</v>
      </c>
    </row>
    <row r="28" spans="1:13" x14ac:dyDescent="0.2">
      <c r="A28" s="20" t="s">
        <v>33</v>
      </c>
      <c r="B28" s="36">
        <f>B3*ASSUMPTIONS!$B$4</f>
        <v>100000</v>
      </c>
      <c r="C28" s="36">
        <f>C3*ASSUMPTIONS!$B$4</f>
        <v>110000</v>
      </c>
      <c r="D28" s="36">
        <f>D3*ASSUMPTIONS!$B$4</f>
        <v>120000</v>
      </c>
      <c r="E28" s="36">
        <f>E3*ASSUMPTIONS!$B$4</f>
        <v>130000</v>
      </c>
      <c r="F28" s="36">
        <f>F3*ASSUMPTIONS!$B$4</f>
        <v>140000</v>
      </c>
      <c r="G28" s="36">
        <f>G3*ASSUMPTIONS!$B$4</f>
        <v>150000</v>
      </c>
      <c r="H28" s="36">
        <f>H3*ASSUMPTIONS!$B$4</f>
        <v>160000</v>
      </c>
      <c r="I28" s="36">
        <f>I3*ASSUMPTIONS!$B$4</f>
        <v>170000</v>
      </c>
      <c r="J28" s="36">
        <f>J3*ASSUMPTIONS!$B$4</f>
        <v>180000</v>
      </c>
      <c r="K28" s="36">
        <f>K3*ASSUMPTIONS!$B$4</f>
        <v>190000</v>
      </c>
      <c r="L28" s="36">
        <f>L3*ASSUMPTIONS!$B$4</f>
        <v>200000</v>
      </c>
      <c r="M28" s="36">
        <f>M3*ASSUMPTIONS!$B$4</f>
        <v>210000</v>
      </c>
    </row>
    <row r="30" spans="1:13" x14ac:dyDescent="0.2">
      <c r="A30" s="32" t="s">
        <v>14</v>
      </c>
    </row>
    <row r="31" spans="1:13" x14ac:dyDescent="0.2">
      <c r="A31" s="20" t="s">
        <v>15</v>
      </c>
      <c r="B31" s="36">
        <f>B24-B27</f>
        <v>62287.322585344242</v>
      </c>
      <c r="C31" s="36">
        <f t="shared" ref="C31:M31" si="2">C24-C27</f>
        <v>112090.15202857746</v>
      </c>
      <c r="D31" s="36">
        <f t="shared" si="2"/>
        <v>157535.2338955279</v>
      </c>
      <c r="E31" s="36">
        <f t="shared" si="2"/>
        <v>203677.5553746834</v>
      </c>
      <c r="F31" s="36">
        <f t="shared" si="2"/>
        <v>250461.33729706786</v>
      </c>
      <c r="G31" s="36">
        <f t="shared" si="2"/>
        <v>297835.26282722293</v>
      </c>
      <c r="H31" s="36">
        <f t="shared" si="2"/>
        <v>345752.12047652679</v>
      </c>
      <c r="I31" s="36">
        <f t="shared" si="2"/>
        <v>394168.47567544773</v>
      </c>
      <c r="J31" s="36">
        <f t="shared" si="2"/>
        <v>443044.36862001615</v>
      </c>
      <c r="K31" s="36">
        <f t="shared" si="2"/>
        <v>74289.582962234388</v>
      </c>
      <c r="L31" s="36">
        <f t="shared" si="2"/>
        <v>79478.718854730716</v>
      </c>
      <c r="M31" s="36">
        <f t="shared" si="2"/>
        <v>84810.657565783476</v>
      </c>
    </row>
    <row r="32" spans="1:13" x14ac:dyDescent="0.2">
      <c r="A32" s="20" t="s">
        <v>48</v>
      </c>
      <c r="B32" s="36">
        <f>B31-B28</f>
        <v>-37712.677414655758</v>
      </c>
      <c r="C32" s="36">
        <f t="shared" ref="C32:M32" si="3">C31-C28</f>
        <v>2090.1520285774604</v>
      </c>
      <c r="D32" s="36">
        <f t="shared" si="3"/>
        <v>37535.233895527897</v>
      </c>
      <c r="E32" s="36">
        <f t="shared" si="3"/>
        <v>73677.555374683405</v>
      </c>
      <c r="F32" s="36">
        <f t="shared" si="3"/>
        <v>110461.33729706786</v>
      </c>
      <c r="G32" s="36">
        <f t="shared" si="3"/>
        <v>147835.26282722293</v>
      </c>
      <c r="H32" s="36">
        <f t="shared" si="3"/>
        <v>185752.12047652679</v>
      </c>
      <c r="I32" s="36">
        <f t="shared" si="3"/>
        <v>224168.47567544773</v>
      </c>
      <c r="J32" s="36">
        <f t="shared" si="3"/>
        <v>263044.36862001615</v>
      </c>
      <c r="K32" s="36">
        <f t="shared" si="3"/>
        <v>-115710.41703776561</v>
      </c>
      <c r="L32" s="36">
        <f t="shared" si="3"/>
        <v>-120521.28114526928</v>
      </c>
      <c r="M32" s="36">
        <f t="shared" si="3"/>
        <v>-125189.34243421652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7DB04A-06C6-4065-8C0F-2844E75483E9}">
  <sheetPr>
    <tabColor rgb="FF00B0F0"/>
  </sheetPr>
  <dimension ref="A1:F29"/>
  <sheetViews>
    <sheetView tabSelected="1" workbookViewId="0">
      <selection activeCell="G12" sqref="G12"/>
    </sheetView>
  </sheetViews>
  <sheetFormatPr defaultRowHeight="12.75" x14ac:dyDescent="0.2"/>
  <cols>
    <col min="1" max="1" width="45.42578125" bestFit="1" customWidth="1"/>
    <col min="2" max="2" width="13.42578125" bestFit="1" customWidth="1"/>
    <col min="3" max="3" width="17" bestFit="1" customWidth="1"/>
    <col min="4" max="4" width="14" bestFit="1" customWidth="1"/>
    <col min="5" max="5" width="96.5703125" customWidth="1"/>
  </cols>
  <sheetData>
    <row r="1" spans="1:6" x14ac:dyDescent="0.2">
      <c r="A1" s="62" t="s">
        <v>56</v>
      </c>
      <c r="B1" s="62"/>
      <c r="C1" s="62"/>
      <c r="D1" s="62"/>
      <c r="E1" s="62"/>
    </row>
    <row r="2" spans="1:6" x14ac:dyDescent="0.2">
      <c r="A2" s="63" t="s">
        <v>57</v>
      </c>
      <c r="B2" s="63"/>
      <c r="C2" s="63"/>
      <c r="D2" s="63"/>
      <c r="E2" s="63"/>
      <c r="F2" s="63"/>
    </row>
    <row r="4" spans="1:6" x14ac:dyDescent="0.2">
      <c r="A4" s="70" t="s">
        <v>58</v>
      </c>
      <c r="B4" s="70"/>
      <c r="C4" s="70"/>
    </row>
    <row r="5" spans="1:6" x14ac:dyDescent="0.2">
      <c r="A5" s="14" t="s">
        <v>7</v>
      </c>
      <c r="B5" s="55" t="s">
        <v>59</v>
      </c>
      <c r="C5" s="55" t="s">
        <v>60</v>
      </c>
      <c r="D5" s="55" t="s">
        <v>61</v>
      </c>
      <c r="E5" s="55" t="s">
        <v>62</v>
      </c>
    </row>
    <row r="6" spans="1:6" ht="63.75" x14ac:dyDescent="0.2">
      <c r="A6" s="44" t="s">
        <v>63</v>
      </c>
      <c r="B6" s="45">
        <v>0.15</v>
      </c>
      <c r="C6" s="45">
        <v>0.1</v>
      </c>
      <c r="D6" s="45">
        <v>0.08</v>
      </c>
      <c r="E6" s="46" t="s">
        <v>83</v>
      </c>
    </row>
    <row r="7" spans="1:6" ht="63.75" x14ac:dyDescent="0.2">
      <c r="A7" s="44" t="s">
        <v>64</v>
      </c>
      <c r="B7" s="45">
        <v>0.08</v>
      </c>
      <c r="C7" s="45">
        <v>0.05</v>
      </c>
      <c r="D7" s="45">
        <v>0.03</v>
      </c>
      <c r="E7" s="47" t="s">
        <v>84</v>
      </c>
    </row>
    <row r="8" spans="1:6" ht="63.75" x14ac:dyDescent="0.2">
      <c r="A8" s="20" t="s">
        <v>65</v>
      </c>
      <c r="B8" s="48">
        <v>1.5</v>
      </c>
      <c r="C8" s="48">
        <v>2</v>
      </c>
      <c r="D8" s="48">
        <v>2.5</v>
      </c>
      <c r="E8" s="47" t="s">
        <v>85</v>
      </c>
    </row>
    <row r="9" spans="1:6" ht="63.75" x14ac:dyDescent="0.2">
      <c r="A9" s="20" t="s">
        <v>66</v>
      </c>
      <c r="B9" s="49">
        <v>18</v>
      </c>
      <c r="C9" s="49">
        <v>12</v>
      </c>
      <c r="D9" s="49">
        <v>10</v>
      </c>
      <c r="E9" s="47" t="s">
        <v>87</v>
      </c>
    </row>
    <row r="10" spans="1:6" ht="63.75" x14ac:dyDescent="0.2">
      <c r="A10" s="20" t="s">
        <v>67</v>
      </c>
      <c r="B10" s="49">
        <v>3</v>
      </c>
      <c r="C10" s="49">
        <v>3.53</v>
      </c>
      <c r="D10" s="49">
        <v>4</v>
      </c>
      <c r="E10" s="47" t="s">
        <v>88</v>
      </c>
    </row>
    <row r="11" spans="1:6" x14ac:dyDescent="0.2">
      <c r="B11" s="52"/>
      <c r="C11" s="52"/>
      <c r="D11" s="52"/>
    </row>
    <row r="12" spans="1:6" x14ac:dyDescent="0.2">
      <c r="A12" s="14" t="s">
        <v>68</v>
      </c>
      <c r="B12" s="59"/>
      <c r="C12" s="59"/>
      <c r="D12" s="59"/>
    </row>
    <row r="13" spans="1:6" x14ac:dyDescent="0.2">
      <c r="A13" s="13"/>
      <c r="B13" s="53" t="s">
        <v>59</v>
      </c>
      <c r="C13" s="53" t="s">
        <v>60</v>
      </c>
      <c r="D13" s="53" t="s">
        <v>61</v>
      </c>
      <c r="E13" s="54" t="s">
        <v>69</v>
      </c>
    </row>
    <row r="14" spans="1:6" x14ac:dyDescent="0.2">
      <c r="A14" s="20" t="s">
        <v>73</v>
      </c>
      <c r="B14" s="60">
        <v>44907.055747134065</v>
      </c>
      <c r="C14" s="60">
        <v>54707.158749999995</v>
      </c>
      <c r="D14" s="60">
        <v>60843.375527681732</v>
      </c>
      <c r="E14" s="69">
        <f>D14-B14</f>
        <v>15936.319780547667</v>
      </c>
    </row>
    <row r="15" spans="1:6" x14ac:dyDescent="0.2">
      <c r="A15" s="20" t="s">
        <v>74</v>
      </c>
      <c r="B15" s="50">
        <v>562761.26593504415</v>
      </c>
      <c r="C15" s="50">
        <v>816008.86750000005</v>
      </c>
      <c r="D15" s="50">
        <v>1065027.4080893905</v>
      </c>
      <c r="E15" s="50">
        <f>D15-B15</f>
        <v>502266.14215434634</v>
      </c>
    </row>
    <row r="16" spans="1:6" x14ac:dyDescent="0.2">
      <c r="A16" s="20" t="s">
        <v>75</v>
      </c>
      <c r="B16" s="51">
        <v>4730237.9408917818</v>
      </c>
      <c r="C16" s="51">
        <v>7076613.5718422458</v>
      </c>
      <c r="D16" s="51">
        <v>9490625.4666979723</v>
      </c>
      <c r="E16" s="51">
        <f>D16-B16</f>
        <v>4760387.5258061904</v>
      </c>
    </row>
    <row r="17" spans="1:5" x14ac:dyDescent="0.2">
      <c r="A17" s="20" t="s">
        <v>76</v>
      </c>
      <c r="B17" s="51">
        <v>3690982.0068828156</v>
      </c>
      <c r="C17" s="51">
        <v>5351956.9126617266</v>
      </c>
      <c r="D17" s="51">
        <v>6985194.6785348076</v>
      </c>
      <c r="E17" s="51">
        <f t="shared" ref="E17:E19" si="0">D17-B17</f>
        <v>3294212.671651992</v>
      </c>
    </row>
    <row r="18" spans="1:5" x14ac:dyDescent="0.2">
      <c r="A18" s="20" t="s">
        <v>77</v>
      </c>
      <c r="B18" s="51">
        <v>3348000</v>
      </c>
      <c r="C18" s="51">
        <v>2232000</v>
      </c>
      <c r="D18" s="51">
        <v>1860000</v>
      </c>
      <c r="E18" s="51">
        <f t="shared" si="0"/>
        <v>-1488000</v>
      </c>
    </row>
    <row r="19" spans="1:5" x14ac:dyDescent="0.2">
      <c r="A19" s="20" t="s">
        <v>78</v>
      </c>
      <c r="B19" s="51">
        <v>-2308744.0659910333</v>
      </c>
      <c r="C19" s="51">
        <v>-507343.34081948083</v>
      </c>
      <c r="D19" s="51">
        <v>645430.78816316312</v>
      </c>
      <c r="E19" s="51">
        <f>D19+B19</f>
        <v>-1663313.2778278701</v>
      </c>
    </row>
    <row r="20" spans="1:5" x14ac:dyDescent="0.2">
      <c r="A20" s="20" t="s">
        <v>70</v>
      </c>
      <c r="B20" s="44" t="s">
        <v>71</v>
      </c>
      <c r="C20" s="58">
        <v>45627</v>
      </c>
      <c r="D20" s="58">
        <v>45597</v>
      </c>
      <c r="E20" s="47" t="s">
        <v>72</v>
      </c>
    </row>
    <row r="21" spans="1:5" x14ac:dyDescent="0.2">
      <c r="B21" s="43"/>
      <c r="C21" s="43"/>
      <c r="D21" s="43"/>
    </row>
    <row r="22" spans="1:5" x14ac:dyDescent="0.2">
      <c r="B22" s="43"/>
      <c r="C22" s="43"/>
      <c r="D22" s="43"/>
    </row>
    <row r="23" spans="1:5" x14ac:dyDescent="0.2">
      <c r="B23" s="43"/>
      <c r="C23" s="43"/>
      <c r="D23" s="43"/>
    </row>
    <row r="24" spans="1:5" x14ac:dyDescent="0.2">
      <c r="B24" s="43"/>
      <c r="C24" s="43"/>
      <c r="D24" s="43"/>
    </row>
    <row r="25" spans="1:5" x14ac:dyDescent="0.2">
      <c r="B25" s="43"/>
      <c r="C25" s="50"/>
      <c r="D25" s="43"/>
    </row>
    <row r="26" spans="1:5" x14ac:dyDescent="0.2">
      <c r="B26" s="43"/>
      <c r="C26" s="43"/>
      <c r="D26" s="43"/>
    </row>
    <row r="27" spans="1:5" x14ac:dyDescent="0.2">
      <c r="B27" s="43"/>
      <c r="C27" s="43"/>
      <c r="D27" s="43"/>
    </row>
    <row r="28" spans="1:5" x14ac:dyDescent="0.2">
      <c r="B28" s="43"/>
      <c r="C28" s="43"/>
      <c r="D28" s="43"/>
    </row>
    <row r="29" spans="1:5" x14ac:dyDescent="0.2">
      <c r="B29" s="43"/>
      <c r="C29" s="43"/>
      <c r="D29" s="43"/>
    </row>
  </sheetData>
  <mergeCells count="3">
    <mergeCell ref="A1:E1"/>
    <mergeCell ref="A4:C4"/>
    <mergeCell ref="A2:F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290DAB-D1A3-41BD-BEAF-7A272331A0FD}">
  <sheetPr>
    <tabColor rgb="FF7030A0"/>
  </sheetPr>
  <dimension ref="A1:G21"/>
  <sheetViews>
    <sheetView workbookViewId="0">
      <selection activeCell="A34" sqref="A34"/>
    </sheetView>
  </sheetViews>
  <sheetFormatPr defaultRowHeight="12.75" x14ac:dyDescent="0.2"/>
  <cols>
    <col min="1" max="1" width="53" bestFit="1" customWidth="1"/>
    <col min="7" max="7" width="57.28515625" customWidth="1"/>
  </cols>
  <sheetData>
    <row r="1" spans="1:7" x14ac:dyDescent="0.2">
      <c r="A1" s="30" t="s">
        <v>79</v>
      </c>
    </row>
    <row r="2" spans="1:7" x14ac:dyDescent="0.2">
      <c r="A2" s="57" t="s">
        <v>80</v>
      </c>
    </row>
    <row r="3" spans="1:7" ht="12.75" customHeight="1" x14ac:dyDescent="0.2">
      <c r="B3" s="68" t="s">
        <v>89</v>
      </c>
      <c r="C3" s="68"/>
      <c r="D3" s="68"/>
      <c r="E3" s="68"/>
      <c r="F3" s="68"/>
      <c r="G3" s="68"/>
    </row>
    <row r="4" spans="1:7" x14ac:dyDescent="0.2">
      <c r="B4" s="68"/>
      <c r="C4" s="68"/>
      <c r="D4" s="68"/>
      <c r="E4" s="68"/>
      <c r="F4" s="68"/>
      <c r="G4" s="68"/>
    </row>
    <row r="5" spans="1:7" x14ac:dyDescent="0.2">
      <c r="B5" s="68"/>
      <c r="C5" s="68"/>
      <c r="D5" s="68"/>
      <c r="E5" s="68"/>
      <c r="F5" s="68"/>
      <c r="G5" s="68"/>
    </row>
    <row r="6" spans="1:7" x14ac:dyDescent="0.2">
      <c r="B6" s="68"/>
      <c r="C6" s="68"/>
      <c r="D6" s="68"/>
      <c r="E6" s="68"/>
      <c r="F6" s="68"/>
      <c r="G6" s="68"/>
    </row>
    <row r="7" spans="1:7" x14ac:dyDescent="0.2">
      <c r="B7" s="56"/>
      <c r="C7" s="56"/>
      <c r="D7" s="56"/>
      <c r="E7" s="56"/>
      <c r="F7" s="56"/>
      <c r="G7" s="56"/>
    </row>
    <row r="8" spans="1:7" x14ac:dyDescent="0.2">
      <c r="A8" s="57" t="s">
        <v>81</v>
      </c>
    </row>
    <row r="9" spans="1:7" x14ac:dyDescent="0.2">
      <c r="B9" s="64" t="s">
        <v>90</v>
      </c>
      <c r="C9" s="65"/>
      <c r="D9" s="65"/>
      <c r="E9" s="65"/>
      <c r="F9" s="65"/>
      <c r="G9" s="65"/>
    </row>
    <row r="10" spans="1:7" x14ac:dyDescent="0.2">
      <c r="B10" s="65"/>
      <c r="C10" s="65"/>
      <c r="D10" s="65"/>
      <c r="E10" s="65"/>
      <c r="F10" s="65"/>
      <c r="G10" s="65"/>
    </row>
    <row r="11" spans="1:7" x14ac:dyDescent="0.2">
      <c r="B11" s="65"/>
      <c r="C11" s="65"/>
      <c r="D11" s="65"/>
      <c r="E11" s="65"/>
      <c r="F11" s="65"/>
      <c r="G11" s="65"/>
    </row>
    <row r="12" spans="1:7" x14ac:dyDescent="0.2">
      <c r="B12" s="65"/>
      <c r="C12" s="65"/>
      <c r="D12" s="65"/>
      <c r="E12" s="65"/>
      <c r="F12" s="65"/>
      <c r="G12" s="65"/>
    </row>
    <row r="13" spans="1:7" x14ac:dyDescent="0.2">
      <c r="B13" s="65"/>
      <c r="C13" s="65"/>
      <c r="D13" s="65"/>
      <c r="E13" s="65"/>
      <c r="F13" s="65"/>
      <c r="G13" s="65"/>
    </row>
    <row r="15" spans="1:7" x14ac:dyDescent="0.2">
      <c r="A15" s="57" t="s">
        <v>82</v>
      </c>
    </row>
    <row r="16" spans="1:7" x14ac:dyDescent="0.2">
      <c r="B16" s="66" t="s">
        <v>91</v>
      </c>
      <c r="C16" s="67"/>
      <c r="D16" s="67"/>
      <c r="E16" s="67"/>
      <c r="F16" s="67"/>
      <c r="G16" s="67"/>
    </row>
    <row r="17" spans="2:7" x14ac:dyDescent="0.2">
      <c r="B17" s="67"/>
      <c r="C17" s="67"/>
      <c r="D17" s="67"/>
      <c r="E17" s="67"/>
      <c r="F17" s="67"/>
      <c r="G17" s="67"/>
    </row>
    <row r="18" spans="2:7" x14ac:dyDescent="0.2">
      <c r="B18" s="67"/>
      <c r="C18" s="67"/>
      <c r="D18" s="67"/>
      <c r="E18" s="67"/>
      <c r="F18" s="67"/>
      <c r="G18" s="67"/>
    </row>
    <row r="19" spans="2:7" x14ac:dyDescent="0.2">
      <c r="B19" s="67"/>
      <c r="C19" s="67"/>
      <c r="D19" s="67"/>
      <c r="E19" s="67"/>
      <c r="F19" s="67"/>
      <c r="G19" s="67"/>
    </row>
    <row r="20" spans="2:7" x14ac:dyDescent="0.2">
      <c r="B20" s="67"/>
      <c r="C20" s="67"/>
      <c r="D20" s="67"/>
      <c r="E20" s="67"/>
      <c r="F20" s="67"/>
      <c r="G20" s="67"/>
    </row>
    <row r="21" spans="2:7" x14ac:dyDescent="0.2">
      <c r="B21" s="67"/>
      <c r="C21" s="67"/>
      <c r="D21" s="67"/>
      <c r="E21" s="67"/>
      <c r="F21" s="67"/>
      <c r="G21" s="67"/>
    </row>
  </sheetData>
  <mergeCells count="3">
    <mergeCell ref="B9:G13"/>
    <mergeCell ref="B16:G21"/>
    <mergeCell ref="B3:G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Data</vt:lpstr>
      <vt:lpstr>ASSUMPTIONS</vt:lpstr>
      <vt:lpstr>P&amp;L</vt:lpstr>
      <vt:lpstr>SCENERIO</vt:lpstr>
      <vt:lpstr>INSIGHT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Dabi Njere</cp:lastModifiedBy>
  <dcterms:created xsi:type="dcterms:W3CDTF">2026-05-17T21:51:58Z</dcterms:created>
  <dcterms:modified xsi:type="dcterms:W3CDTF">2026-05-18T08:08:29Z</dcterms:modified>
</cp:coreProperties>
</file>