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dcd43ffb156b6104/Documents/"/>
    </mc:Choice>
  </mc:AlternateContent>
  <xr:revisionPtr revIDLastSave="2189" documentId="8_{2100D199-1696-49F6-BA6B-30ADBD7E9489}" xr6:coauthVersionLast="47" xr6:coauthVersionMax="47" xr10:uidLastSave="{9BDB580F-4EEC-4884-82E7-02B38110EFF2}"/>
  <bookViews>
    <workbookView xWindow="22930" yWindow="6060" windowWidth="19420" windowHeight="11020" xr2:uid="{295E773A-A7CF-4B32-A601-6C63445429B2}"/>
  </bookViews>
  <sheets>
    <sheet name="ACTUALS" sheetId="1" r:id="rId1"/>
    <sheet name="ASSUMPTIONS" sheetId="2" r:id="rId2"/>
    <sheet name="REVENUE" sheetId="3" r:id="rId3"/>
    <sheet name="P&amp;L" sheetId="4" r:id="rId4"/>
    <sheet name="SCENARIO" sheetId="5" r:id="rId5"/>
    <sheet name="DASHBOARD" sheetId="7" r:id="rId6"/>
    <sheet name="CHARTS" sheetId="8" r:id="rId7"/>
    <sheet name="INSIGHT" sheetId="6" r:id="rId8"/>
  </sheets>
  <definedNames>
    <definedName name="AuditCost">ASSUMPTIONS!$B$8</definedName>
    <definedName name="AuditRate">ASSUMPTIONS!$B$2</definedName>
    <definedName name="GrowthRate">ASSUMPTIONS!$B$13</definedName>
    <definedName name="Overhead">ASSUMPTIONS!$B$12</definedName>
    <definedName name="RateIncrease">ASSUMPTIONS!$B$15</definedName>
    <definedName name="TargetReal">ASSUMPTIONS!$B$5</definedName>
    <definedName name="TargetUtil">ASSUMPTIONS!$B$4</definedName>
    <definedName name="TaxCost">ASSUMPTIONS!$B$11</definedName>
    <definedName name="TaxRate">ASSUMPTIONS!$B$3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5" i="4" l="1"/>
  <c r="E25" i="4"/>
  <c r="F25" i="4"/>
  <c r="G25" i="4"/>
  <c r="H25" i="4"/>
  <c r="I25" i="4"/>
  <c r="C25" i="4"/>
  <c r="D24" i="4"/>
  <c r="E24" i="4"/>
  <c r="F24" i="4"/>
  <c r="G24" i="4"/>
  <c r="H24" i="4"/>
  <c r="I24" i="4"/>
  <c r="C24" i="4"/>
  <c r="B1" i="4"/>
  <c r="B1" i="7"/>
  <c r="B27" i="7"/>
  <c r="B28" i="7" s="1"/>
  <c r="D26" i="7"/>
  <c r="D27" i="7" s="1"/>
  <c r="D28" i="7" s="1"/>
  <c r="C26" i="7"/>
  <c r="C27" i="7" s="1"/>
  <c r="C28" i="7" s="1"/>
  <c r="B26" i="7"/>
  <c r="B25" i="7"/>
  <c r="D25" i="7"/>
  <c r="C25" i="7"/>
  <c r="B21" i="7"/>
  <c r="B20" i="7"/>
  <c r="B19" i="7"/>
  <c r="B18" i="7"/>
  <c r="B12" i="7"/>
  <c r="B13" i="7"/>
  <c r="B14" i="7"/>
  <c r="B11" i="7"/>
  <c r="I26" i="5"/>
  <c r="J26" i="5"/>
  <c r="K26" i="5"/>
  <c r="K27" i="5" s="1"/>
  <c r="H26" i="5"/>
  <c r="I25" i="5"/>
  <c r="J25" i="5"/>
  <c r="K25" i="5"/>
  <c r="H25" i="5"/>
  <c r="I27" i="5"/>
  <c r="J27" i="5"/>
  <c r="H27" i="5"/>
  <c r="C27" i="5"/>
  <c r="D27" i="5"/>
  <c r="E27" i="5"/>
  <c r="B27" i="5"/>
  <c r="C26" i="5"/>
  <c r="D26" i="5"/>
  <c r="E26" i="5"/>
  <c r="B26" i="5"/>
  <c r="B25" i="5"/>
  <c r="C25" i="5"/>
  <c r="D25" i="5"/>
  <c r="E25" i="5"/>
  <c r="I17" i="5"/>
  <c r="J17" i="5"/>
  <c r="K17" i="5"/>
  <c r="H17" i="5"/>
  <c r="C17" i="5"/>
  <c r="C18" i="5" s="1"/>
  <c r="D17" i="5"/>
  <c r="D18" i="5" s="1"/>
  <c r="E17" i="5"/>
  <c r="B17" i="5"/>
  <c r="B18" i="5" s="1"/>
  <c r="I16" i="5"/>
  <c r="J16" i="5"/>
  <c r="K16" i="5"/>
  <c r="H16" i="5"/>
  <c r="C16" i="5"/>
  <c r="D16" i="5"/>
  <c r="E16" i="5"/>
  <c r="B16" i="5"/>
  <c r="E18" i="5"/>
  <c r="I8" i="5"/>
  <c r="J8" i="5"/>
  <c r="K8" i="5"/>
  <c r="I9" i="5"/>
  <c r="J9" i="5"/>
  <c r="K9" i="5"/>
  <c r="H9" i="5"/>
  <c r="H8" i="5"/>
  <c r="C8" i="5"/>
  <c r="C9" i="5" s="1"/>
  <c r="D8" i="5"/>
  <c r="D9" i="5" s="1"/>
  <c r="E8" i="5"/>
  <c r="E9" i="5" s="1"/>
  <c r="B8" i="5"/>
  <c r="B9" i="5" s="1"/>
  <c r="I7" i="5"/>
  <c r="J7" i="5"/>
  <c r="K7" i="5"/>
  <c r="H7" i="5"/>
  <c r="C7" i="5"/>
  <c r="D7" i="5"/>
  <c r="E7" i="5"/>
  <c r="B7" i="5"/>
  <c r="G21" i="5"/>
  <c r="G12" i="5"/>
  <c r="B50" i="2"/>
  <c r="B51" i="2"/>
  <c r="B52" i="2"/>
  <c r="B49" i="2"/>
  <c r="B46" i="2"/>
  <c r="B47" i="2"/>
  <c r="B48" i="2"/>
  <c r="B45" i="2"/>
  <c r="D19" i="2"/>
  <c r="D20" i="2"/>
  <c r="D21" i="2"/>
  <c r="D18" i="2"/>
  <c r="B19" i="2"/>
  <c r="B20" i="2"/>
  <c r="B21" i="2"/>
  <c r="B18" i="2"/>
  <c r="D26" i="2"/>
  <c r="D27" i="2"/>
  <c r="D28" i="2"/>
  <c r="D25" i="2"/>
  <c r="B26" i="2"/>
  <c r="B27" i="2"/>
  <c r="B28" i="2"/>
  <c r="B25" i="2"/>
  <c r="G11" i="4"/>
  <c r="F11" i="4"/>
  <c r="E11" i="4"/>
  <c r="G13" i="4"/>
  <c r="G12" i="4"/>
  <c r="F12" i="4"/>
  <c r="E12" i="4"/>
  <c r="F13" i="4"/>
  <c r="E13" i="4"/>
  <c r="G14" i="4"/>
  <c r="F14" i="4"/>
  <c r="E14" i="4"/>
  <c r="D14" i="4"/>
  <c r="D13" i="4"/>
  <c r="D12" i="4"/>
  <c r="D11" i="4"/>
  <c r="C14" i="4"/>
  <c r="C13" i="4"/>
  <c r="C12" i="4"/>
  <c r="C11" i="4"/>
  <c r="B14" i="4"/>
  <c r="B13" i="4"/>
  <c r="B12" i="4"/>
  <c r="B11" i="4"/>
  <c r="B8" i="4"/>
  <c r="C8" i="4"/>
  <c r="D8" i="4"/>
  <c r="E8" i="4"/>
  <c r="F8" i="4"/>
  <c r="G8" i="4"/>
  <c r="C4" i="4"/>
  <c r="D4" i="4"/>
  <c r="E4" i="4"/>
  <c r="F4" i="4"/>
  <c r="G4" i="4"/>
  <c r="C5" i="4"/>
  <c r="D5" i="4"/>
  <c r="E5" i="4"/>
  <c r="F5" i="4"/>
  <c r="G5" i="4"/>
  <c r="C6" i="4"/>
  <c r="D6" i="4"/>
  <c r="E6" i="4"/>
  <c r="F6" i="4"/>
  <c r="G6" i="4"/>
  <c r="C7" i="4"/>
  <c r="D7" i="4"/>
  <c r="E7" i="4"/>
  <c r="F7" i="4"/>
  <c r="G7" i="4"/>
  <c r="B5" i="4"/>
  <c r="B6" i="4"/>
  <c r="B7" i="4"/>
  <c r="B4" i="4"/>
  <c r="J2" i="1"/>
  <c r="G7" i="3"/>
  <c r="G6" i="3"/>
  <c r="G5" i="3"/>
  <c r="G4" i="3"/>
  <c r="F7" i="3"/>
  <c r="F6" i="3"/>
  <c r="F5" i="3"/>
  <c r="F4" i="3"/>
  <c r="E4" i="3"/>
  <c r="E5" i="3"/>
  <c r="E7" i="3"/>
  <c r="E6" i="3"/>
  <c r="C4" i="3"/>
  <c r="C5" i="3"/>
  <c r="C6" i="3"/>
  <c r="C7" i="3"/>
  <c r="D7" i="3"/>
  <c r="D6" i="3"/>
  <c r="D4" i="3"/>
  <c r="D5" i="3"/>
  <c r="B8" i="3"/>
  <c r="B7" i="3"/>
  <c r="B6" i="3"/>
  <c r="B5" i="3"/>
  <c r="B4" i="3"/>
  <c r="B15" i="2"/>
  <c r="B14" i="2"/>
  <c r="B11" i="2"/>
  <c r="B10" i="2"/>
  <c r="B9" i="2"/>
  <c r="B7" i="2"/>
  <c r="B6" i="2"/>
  <c r="M22" i="1"/>
  <c r="M23" i="1"/>
  <c r="M24" i="1"/>
  <c r="M25" i="1"/>
  <c r="M21" i="1"/>
  <c r="M16" i="1"/>
  <c r="M17" i="1"/>
  <c r="M18" i="1"/>
  <c r="M19" i="1"/>
  <c r="M15" i="1"/>
  <c r="D28" i="1"/>
  <c r="C28" i="1"/>
  <c r="E28" i="1"/>
  <c r="F28" i="1"/>
  <c r="B28" i="1"/>
  <c r="G29" i="1"/>
  <c r="D29" i="1"/>
  <c r="C29" i="1"/>
  <c r="E29" i="1"/>
  <c r="F29" i="1"/>
  <c r="B29" i="1"/>
  <c r="G30" i="1"/>
  <c r="G31" i="1"/>
  <c r="G32" i="1"/>
  <c r="G33" i="1"/>
  <c r="D30" i="1"/>
  <c r="C30" i="1"/>
  <c r="E30" i="1"/>
  <c r="F30" i="1"/>
  <c r="B30" i="1"/>
  <c r="D31" i="1"/>
  <c r="D32" i="1"/>
  <c r="C31" i="1"/>
  <c r="E31" i="1"/>
  <c r="F31" i="1"/>
  <c r="B31" i="1"/>
  <c r="C32" i="1"/>
  <c r="E32" i="1"/>
  <c r="F32" i="1"/>
  <c r="B32" i="1"/>
  <c r="D33" i="1"/>
  <c r="H33" i="1"/>
  <c r="C33" i="1"/>
  <c r="E33" i="1"/>
  <c r="F33" i="1"/>
  <c r="B33" i="1"/>
  <c r="L25" i="1"/>
  <c r="L20" i="1"/>
  <c r="L21" i="1"/>
  <c r="L22" i="1"/>
  <c r="L23" i="1"/>
  <c r="L24" i="1"/>
  <c r="K20" i="1"/>
  <c r="K21" i="1"/>
  <c r="K22" i="1"/>
  <c r="K23" i="1"/>
  <c r="K24" i="1"/>
  <c r="K25" i="1"/>
  <c r="J20" i="1"/>
  <c r="J21" i="1"/>
  <c r="J22" i="1"/>
  <c r="J23" i="1"/>
  <c r="J24" i="1"/>
  <c r="J25" i="1"/>
  <c r="I20" i="1"/>
  <c r="I21" i="1"/>
  <c r="I22" i="1"/>
  <c r="I23" i="1"/>
  <c r="I24" i="1"/>
  <c r="I25" i="1"/>
  <c r="H20" i="1"/>
  <c r="H21" i="1"/>
  <c r="H22" i="1"/>
  <c r="H23" i="1"/>
  <c r="H24" i="1"/>
  <c r="H25" i="1"/>
  <c r="K32" i="1"/>
  <c r="I14" i="1"/>
  <c r="J14" i="1"/>
  <c r="K14" i="1"/>
  <c r="L14" i="1"/>
  <c r="I15" i="1"/>
  <c r="J15" i="1"/>
  <c r="K15" i="1"/>
  <c r="L15" i="1"/>
  <c r="I16" i="1"/>
  <c r="J16" i="1"/>
  <c r="K16" i="1"/>
  <c r="L16" i="1"/>
  <c r="I17" i="1"/>
  <c r="J17" i="1"/>
  <c r="K17" i="1"/>
  <c r="L17" i="1"/>
  <c r="I18" i="1"/>
  <c r="J18" i="1"/>
  <c r="K18" i="1"/>
  <c r="L18" i="1"/>
  <c r="I19" i="1"/>
  <c r="J19" i="1"/>
  <c r="K19" i="1"/>
  <c r="L19" i="1"/>
  <c r="H19" i="1"/>
  <c r="H14" i="1"/>
  <c r="H15" i="1"/>
  <c r="H16" i="1"/>
  <c r="H17" i="1"/>
  <c r="H18" i="1"/>
  <c r="B41" i="2"/>
  <c r="B42" i="2"/>
  <c r="B43" i="2"/>
  <c r="B44" i="2"/>
  <c r="J34" i="2" s="1"/>
  <c r="K34" i="2" s="1"/>
  <c r="B40" i="2"/>
  <c r="I2" i="1"/>
  <c r="H3" i="1"/>
  <c r="H4" i="1"/>
  <c r="H5" i="1"/>
  <c r="H6" i="1"/>
  <c r="H7" i="1"/>
  <c r="H8" i="1"/>
  <c r="H9" i="1"/>
  <c r="H10" i="1"/>
  <c r="H11" i="1"/>
  <c r="H12" i="1"/>
  <c r="H13" i="1"/>
  <c r="H2" i="1"/>
  <c r="L3" i="1"/>
  <c r="L4" i="1"/>
  <c r="L5" i="1"/>
  <c r="L6" i="1"/>
  <c r="L7" i="1"/>
  <c r="L8" i="1"/>
  <c r="L9" i="1"/>
  <c r="L10" i="1"/>
  <c r="L11" i="1"/>
  <c r="L12" i="1"/>
  <c r="L13" i="1"/>
  <c r="L2" i="1"/>
  <c r="K3" i="1"/>
  <c r="K4" i="1"/>
  <c r="K5" i="1"/>
  <c r="K6" i="1"/>
  <c r="K7" i="1"/>
  <c r="K8" i="1"/>
  <c r="K9" i="1"/>
  <c r="K10" i="1"/>
  <c r="K11" i="1"/>
  <c r="K12" i="1"/>
  <c r="K13" i="1"/>
  <c r="K2" i="1"/>
  <c r="M13" i="1"/>
  <c r="M4" i="1"/>
  <c r="M5" i="1"/>
  <c r="M6" i="1"/>
  <c r="M7" i="1"/>
  <c r="M9" i="1"/>
  <c r="M10" i="1"/>
  <c r="M11" i="1"/>
  <c r="M12" i="1"/>
  <c r="M3" i="1"/>
  <c r="J8" i="1"/>
  <c r="J3" i="1"/>
  <c r="J9" i="1"/>
  <c r="J4" i="1"/>
  <c r="J10" i="1"/>
  <c r="J5" i="1"/>
  <c r="J11" i="1"/>
  <c r="J6" i="1"/>
  <c r="J12" i="1"/>
  <c r="J7" i="1"/>
  <c r="J13" i="1"/>
  <c r="I8" i="1"/>
  <c r="I3" i="1"/>
  <c r="I9" i="1"/>
  <c r="I4" i="1"/>
  <c r="I10" i="1"/>
  <c r="I5" i="1"/>
  <c r="I11" i="1"/>
  <c r="I6" i="1"/>
  <c r="I12" i="1"/>
  <c r="I7" i="1"/>
  <c r="I13" i="1"/>
  <c r="K39" i="2" l="1"/>
  <c r="J32" i="2"/>
  <c r="K32" i="2" s="1"/>
  <c r="K37" i="2" s="1"/>
  <c r="C15" i="4"/>
  <c r="B15" i="4"/>
  <c r="E15" i="4"/>
  <c r="E5" i="7" s="1"/>
  <c r="G15" i="4"/>
  <c r="G5" i="7" s="1"/>
  <c r="D15" i="4"/>
  <c r="D5" i="7" s="1"/>
  <c r="F15" i="4"/>
  <c r="F5" i="7" s="1"/>
  <c r="J39" i="2"/>
  <c r="J33" i="2"/>
  <c r="J35" i="2"/>
  <c r="G8" i="3"/>
  <c r="F8" i="3"/>
  <c r="E8" i="3"/>
  <c r="C8" i="3"/>
  <c r="D8" i="3"/>
  <c r="G28" i="1"/>
  <c r="K33" i="1"/>
  <c r="J29" i="1"/>
  <c r="K29" i="1"/>
  <c r="H29" i="1"/>
  <c r="H31" i="1"/>
  <c r="J30" i="1"/>
  <c r="H28" i="1"/>
  <c r="K30" i="1"/>
  <c r="J32" i="1"/>
  <c r="J28" i="1"/>
  <c r="H30" i="1"/>
  <c r="K28" i="1"/>
  <c r="J33" i="1"/>
  <c r="L29" i="1"/>
  <c r="L33" i="1"/>
  <c r="L32" i="1"/>
  <c r="K31" i="1"/>
  <c r="L31" i="1"/>
  <c r="L30" i="1"/>
  <c r="H32" i="1"/>
  <c r="J31" i="1"/>
  <c r="B8" i="2"/>
  <c r="B5" i="2"/>
  <c r="B4" i="2"/>
  <c r="B12" i="2"/>
  <c r="B13" i="2"/>
  <c r="B18" i="4" l="1"/>
  <c r="B21" i="4" s="1"/>
  <c r="B5" i="7"/>
  <c r="C18" i="4"/>
  <c r="C21" i="4" s="1"/>
  <c r="C5" i="7"/>
  <c r="I4" i="3"/>
  <c r="E11" i="7" s="1"/>
  <c r="I13" i="4"/>
  <c r="I6" i="3"/>
  <c r="H6" i="3"/>
  <c r="H13" i="4"/>
  <c r="I11" i="4"/>
  <c r="J37" i="2"/>
  <c r="F18" i="4"/>
  <c r="F21" i="4" s="1"/>
  <c r="D18" i="4"/>
  <c r="D21" i="4" s="1"/>
  <c r="G18" i="4"/>
  <c r="G21" i="4" s="1"/>
  <c r="E18" i="4"/>
  <c r="E21" i="4" s="1"/>
  <c r="K35" i="2"/>
  <c r="K40" i="2" s="1"/>
  <c r="J40" i="2"/>
  <c r="K33" i="2"/>
  <c r="K38" i="2" s="1"/>
  <c r="D18" i="7" s="1"/>
  <c r="J38" i="2"/>
  <c r="I4" i="4" l="1"/>
  <c r="C18" i="7"/>
  <c r="E22" i="4"/>
  <c r="E7" i="7" s="1"/>
  <c r="E4" i="7"/>
  <c r="E6" i="7"/>
  <c r="G22" i="4"/>
  <c r="G7" i="7" s="1"/>
  <c r="G4" i="7"/>
  <c r="G6" i="7"/>
  <c r="D22" i="4"/>
  <c r="D7" i="7" s="1"/>
  <c r="D6" i="7"/>
  <c r="D4" i="7"/>
  <c r="F22" i="4"/>
  <c r="F7" i="7" s="1"/>
  <c r="F4" i="7"/>
  <c r="F6" i="7"/>
  <c r="C22" i="4"/>
  <c r="C7" i="7" s="1"/>
  <c r="C6" i="7"/>
  <c r="C4" i="7"/>
  <c r="B22" i="4"/>
  <c r="B7" i="7" s="1"/>
  <c r="B6" i="7"/>
  <c r="H6" i="4"/>
  <c r="C13" i="7"/>
  <c r="D13" i="7" s="1"/>
  <c r="I6" i="4"/>
  <c r="E13" i="7"/>
  <c r="F13" i="7" s="1"/>
  <c r="H4" i="3"/>
  <c r="H11" i="4"/>
  <c r="H12" i="4"/>
  <c r="H5" i="3"/>
  <c r="I5" i="3"/>
  <c r="I12" i="4"/>
  <c r="H14" i="4"/>
  <c r="H7" i="3"/>
  <c r="I14" i="4"/>
  <c r="I7" i="3"/>
  <c r="I5" i="4" l="1"/>
  <c r="E12" i="7"/>
  <c r="H5" i="4"/>
  <c r="C12" i="7"/>
  <c r="D12" i="7" s="1"/>
  <c r="H4" i="4"/>
  <c r="C11" i="7"/>
  <c r="I7" i="4"/>
  <c r="E14" i="7"/>
  <c r="H7" i="4"/>
  <c r="C14" i="7"/>
  <c r="D14" i="7" s="1"/>
  <c r="I8" i="3"/>
  <c r="H8" i="3"/>
  <c r="I15" i="4"/>
  <c r="H15" i="4"/>
  <c r="F14" i="7" l="1"/>
  <c r="D11" i="7"/>
  <c r="F11" i="7"/>
  <c r="H18" i="4"/>
  <c r="H5" i="7"/>
  <c r="I18" i="4"/>
  <c r="I21" i="4" s="1"/>
  <c r="I5" i="7"/>
  <c r="H8" i="4"/>
  <c r="H21" i="4" s="1"/>
  <c r="C20" i="7"/>
  <c r="F12" i="7"/>
  <c r="I8" i="4"/>
  <c r="D20" i="7"/>
  <c r="H22" i="4" l="1"/>
  <c r="H7" i="7" s="1"/>
  <c r="C21" i="7"/>
  <c r="H6" i="7"/>
  <c r="H4" i="7"/>
  <c r="I22" i="4"/>
  <c r="I7" i="7" s="1"/>
  <c r="D21" i="7"/>
  <c r="I6" i="7"/>
  <c r="I4" i="7"/>
</calcChain>
</file>

<file path=xl/sharedStrings.xml><?xml version="1.0" encoding="utf-8"?>
<sst xmlns="http://schemas.openxmlformats.org/spreadsheetml/2006/main" count="301" uniqueCount="158">
  <si>
    <t xml:space="preserve">Service Line </t>
  </si>
  <si>
    <t>Available Hours</t>
  </si>
  <si>
    <t>Billable Hours</t>
  </si>
  <si>
    <t>Standard_rate</t>
  </si>
  <si>
    <t>Revenue_Billed</t>
  </si>
  <si>
    <t>Cost_of_Delivery</t>
  </si>
  <si>
    <t>Engagement Margin</t>
  </si>
  <si>
    <t>Audit</t>
  </si>
  <si>
    <t>Tax</t>
  </si>
  <si>
    <t>Utilization_Pct</t>
  </si>
  <si>
    <t>Realization_Pct</t>
  </si>
  <si>
    <t>Target Realization %</t>
  </si>
  <si>
    <t>Avg Cost per Hour — Audit</t>
  </si>
  <si>
    <t>Avg Cost per Hour — Tax</t>
  </si>
  <si>
    <t>DELOITTE — ENGAGEMENT MODEL ASSUMPTIONS</t>
  </si>
  <si>
    <t>DELOITTE — REVENUE FORECAST</t>
  </si>
  <si>
    <t>Total</t>
  </si>
  <si>
    <t>-</t>
  </si>
  <si>
    <t>Overhead Allocation</t>
  </si>
  <si>
    <t>Total Cost of Delivery</t>
  </si>
  <si>
    <t>Gross Margin</t>
  </si>
  <si>
    <t>Year</t>
  </si>
  <si>
    <t>HISTORICAL AVERAGES</t>
  </si>
  <si>
    <t>Avg Audit Utilization % (2019-2024)</t>
  </si>
  <si>
    <t>Avg Tax Utilization % (2019-2024)</t>
  </si>
  <si>
    <t>Avg Audit Realization % (2019-2024)</t>
  </si>
  <si>
    <t>Avg Tax Realization % (2019-2024)</t>
  </si>
  <si>
    <t>Avg Audit Revenue Growth % (YoY)</t>
  </si>
  <si>
    <t>Avg Tax Revenue Growth % (YoY)</t>
  </si>
  <si>
    <t>RATE ASSUMPTIONS</t>
  </si>
  <si>
    <t>Audit Standard Rate 2025</t>
  </si>
  <si>
    <t>Tax Standard Rate 2025</t>
  </si>
  <si>
    <t>Annual Rate Increase %</t>
  </si>
  <si>
    <t>COST ASSUMPTIONS</t>
  </si>
  <si>
    <t>FORECAST ASSUMPTIONS</t>
  </si>
  <si>
    <t>Target Utilization % 2025</t>
  </si>
  <si>
    <t>Target Utilization % 2026</t>
  </si>
  <si>
    <t>Headcount Growth %</t>
  </si>
  <si>
    <t>Available Hours Growth %</t>
  </si>
  <si>
    <t>SCENARIO TOGGLE</t>
  </si>
  <si>
    <t>Active Scenario</t>
  </si>
  <si>
    <t>AVG REV Growth</t>
  </si>
  <si>
    <t>Derivation</t>
  </si>
  <si>
    <t>Cost per hour</t>
  </si>
  <si>
    <t>Average cost of the cost of delivery divided by the billed hours</t>
  </si>
  <si>
    <t>Overhead allocation</t>
  </si>
  <si>
    <t>Average of the Utilization percentage</t>
  </si>
  <si>
    <t>Average of the realization percentage</t>
  </si>
  <si>
    <t>Average of the revenue growth percentage</t>
  </si>
  <si>
    <t>BASE</t>
  </si>
  <si>
    <t>BEAR</t>
  </si>
  <si>
    <t>BULL</t>
  </si>
  <si>
    <t>Year Totals</t>
  </si>
  <si>
    <t>Base gotten from the weighted average of 2023 and 2024 Utilization, and the bull and bear is derived from the adding of the base to the average of the growth rates between the utilization rates</t>
  </si>
  <si>
    <t>Base gotten from the weighted average of 2024 and 2025 Utilization, and the bull and bear is derived from the adding of the base to the average of the growth rates between the utilization rates</t>
  </si>
  <si>
    <t>The base is derived by the weighted average of the year 2024 and 2023 , the bear and base is gotten from the weighted average of the the change rate between(2024-2023) and (2023-2022) ,  I started from that time period because it appeared more stable )</t>
  </si>
  <si>
    <t>Bull</t>
  </si>
  <si>
    <t xml:space="preserve">Weighted average of the 2023 and 2024 rate of the respective service lines </t>
  </si>
  <si>
    <t>Consulting</t>
  </si>
  <si>
    <t>Advisory</t>
  </si>
  <si>
    <t>Avg Cost per Hour — Consulting</t>
  </si>
  <si>
    <t>Avg Cost per Hour — Advisory</t>
  </si>
  <si>
    <t>Avg Consulting Utilization % (2019-2024)</t>
  </si>
  <si>
    <t>Avg Advisory Utilization % (2019-2024)</t>
  </si>
  <si>
    <t>Avg Advisory Realization % (2019-2024)</t>
  </si>
  <si>
    <t>Avg Consulting Realization % (2019-2024)</t>
  </si>
  <si>
    <t>Avg Advisory Revenue Growth % (YoY)</t>
  </si>
  <si>
    <t>Avg Consulting Revenue Growth % (YoY)</t>
  </si>
  <si>
    <t>Consulting Standard Rate 2025</t>
  </si>
  <si>
    <t>Advisory Standard Rate 2025</t>
  </si>
  <si>
    <t>Derived from the weighted averages of the average growth of tax,audit,advisory and consulting</t>
  </si>
  <si>
    <t>Service line</t>
  </si>
  <si>
    <t>2020 A</t>
  </si>
  <si>
    <t>2019 A</t>
  </si>
  <si>
    <t>2021 A</t>
  </si>
  <si>
    <t>2022  A</t>
  </si>
  <si>
    <t>2023 A</t>
  </si>
  <si>
    <t>2024 A</t>
  </si>
  <si>
    <t>2025 F</t>
  </si>
  <si>
    <t>2026 F</t>
  </si>
  <si>
    <t>Hours Growth</t>
  </si>
  <si>
    <t>2022 A</t>
  </si>
  <si>
    <t>REVENUE</t>
  </si>
  <si>
    <t>Net Revenue — Audit</t>
  </si>
  <si>
    <t>Net Revenue — Tax</t>
  </si>
  <si>
    <t>Net Revenue — Consulting</t>
  </si>
  <si>
    <t>Net Revenue — Advisory</t>
  </si>
  <si>
    <t>Total Net Revenue</t>
  </si>
  <si>
    <t>COST OF DELIVERY</t>
  </si>
  <si>
    <t>Direct Labour — Audit</t>
  </si>
  <si>
    <t>Direct Labour — Tax</t>
  </si>
  <si>
    <t>Direct Labour — Consulting</t>
  </si>
  <si>
    <t>Direct Labour — Advisory</t>
  </si>
  <si>
    <t>Total Direct Labour</t>
  </si>
  <si>
    <t>ENGAGEMENT MARGIN</t>
  </si>
  <si>
    <t>Gross Margin %</t>
  </si>
  <si>
    <t xml:space="preserve">Average growth rate of the average growth rates of the service-lines </t>
  </si>
  <si>
    <t>Bear</t>
  </si>
  <si>
    <t>Base</t>
  </si>
  <si>
    <t xml:space="preserve">Base </t>
  </si>
  <si>
    <t xml:space="preserve">Tax </t>
  </si>
  <si>
    <t xml:space="preserve">Consulting </t>
  </si>
  <si>
    <t>Net Revenue</t>
  </si>
  <si>
    <t xml:space="preserve">Cost of delivery </t>
  </si>
  <si>
    <t>Service Line</t>
  </si>
  <si>
    <t xml:space="preserve">Margin % </t>
  </si>
  <si>
    <t>Percentage</t>
  </si>
  <si>
    <t>Revenue Growth</t>
  </si>
  <si>
    <t>Revenue Summary</t>
  </si>
  <si>
    <t>Metric</t>
  </si>
  <si>
    <t>YoY Growth %</t>
  </si>
  <si>
    <t xml:space="preserve">Total Cost of delivery </t>
  </si>
  <si>
    <t>GrossMargin %</t>
  </si>
  <si>
    <t>Service Line Breakdown</t>
  </si>
  <si>
    <t>2025F Revenue</t>
  </si>
  <si>
    <t>Key Metrcis</t>
  </si>
  <si>
    <t>Blended Utilization</t>
  </si>
  <si>
    <t>Blended realization</t>
  </si>
  <si>
    <t>Revenue per billable Hour</t>
  </si>
  <si>
    <t>Margin per billable Hour</t>
  </si>
  <si>
    <t>Scenario Comparison</t>
  </si>
  <si>
    <t>Total Revenue</t>
  </si>
  <si>
    <t>Total Cost</t>
  </si>
  <si>
    <t>Gross margin</t>
  </si>
  <si>
    <t>Metrics</t>
  </si>
  <si>
    <t>2024 Actual</t>
  </si>
  <si>
    <t>2025F Base</t>
  </si>
  <si>
    <t>2026F base</t>
  </si>
  <si>
    <t>Bear 2025</t>
  </si>
  <si>
    <t>Bull 2025</t>
  </si>
  <si>
    <t xml:space="preserve">Base 2025 </t>
  </si>
  <si>
    <t>2026F Revenue</t>
  </si>
  <si>
    <t>2024A Revenue</t>
  </si>
  <si>
    <t>2025 Growth</t>
  </si>
  <si>
    <t>2026 Growth</t>
  </si>
  <si>
    <t>2019A</t>
  </si>
  <si>
    <t>2020A</t>
  </si>
  <si>
    <t>2021A</t>
  </si>
  <si>
    <t>2022A</t>
  </si>
  <si>
    <t>2023A</t>
  </si>
  <si>
    <t>2024A</t>
  </si>
  <si>
    <t>2025F</t>
  </si>
  <si>
    <t>2026F</t>
  </si>
  <si>
    <t>Gross Margin Growth</t>
  </si>
  <si>
    <t>Executive Summary</t>
  </si>
  <si>
    <t>Deloitte Canada's engagement model demonstrates strong and consistent revenue growth from $37.1M in 2019 to $55.5M in 2024 — a 50% increase over six years. Despite a COVID-driven contraction in 2020, the practice recovered strongly in 2021 and has delivered double-digit growth in three of the last four years. Engagement margins have expanded from 7.3% in 2019 to 9.8% in 2024, driven by improving utilization rates and disciplined cost management. The 2025 and 2026 forecast projects continued growth to $59.1M and $63.2M respectively, with margins expanding to 10.1% and 10.4% under the Base scenario.</t>
  </si>
  <si>
    <t>REVENUE STORY -2019 TO 2026</t>
  </si>
  <si>
    <t>Revenue declined 6.7% in 2020 driven by COVID-19 disruption across all four service lines — Advisory was hardest hit at -8.1% as discretionary consulting spend was deferred. Recovery was swift and strong — 2021 delivered 17.3% growth as pent-up demand released and new mandates accelerated particularly in Consulting (+19.7%) and Advisory (+20.7%). From 2022 onwards revenue has grown consistently at 10-11% annually. Consulting and Advisory are the fastest-growing service lines at 10.5% and 10.1% average annual growth respectively, compared to Audit at 8.0% and Tax at 7.0%. The 2025-2026 forecast projects a slight moderation to 6.5-6.8% growth as the post-COVID recovery tailwind normalises and base effects become more challenging.</t>
  </si>
  <si>
    <t>MARGIN STORY — EXPANSION DRIVEN BY UTILIZATION</t>
  </si>
  <si>
    <t>Engagement margins have expanded 250 basis points from 7.3% in 2019 to 9.8% in 2024. The primary driver is utilization improvement — blended utilization across all service lines improved from 76.9% in 2019 to 82.9% in 2024, meaning more revenue is being generated from the same cost base. Realization rates have remained stable at approximately 90% throughout the period, indicating strong billing discipline and effective client relationship management. The 2020 margin compression to 5.9% was temporary — lower utilization as available hours were underdeployed during lockdowns — and fully recovered by 2021. Forecast margins of 10.1% in 2025 and 10.4% in 2026 assume continued utilization improvement to 82.5% and 82.2% respectively.</t>
  </si>
  <si>
    <t>SERVICE LINE HIGHLIGHTS</t>
  </si>
  <si>
    <t>SCENARIO ANALYSIS — KEY RISKS AND OPPORTUNITIES</t>
  </si>
  <si>
    <t>KEY RECOMMENDATIONS</t>
  </si>
  <si>
    <t>Audit remains the largest service line at $16.2M (29% of revenue) but is growing slowest at 8.0% annually — reflecting maturity and increased competition from technology-driven audit tools. Tax at $13.9M (25%) shows steady 7.0% growth driven by increasing regulatory complexity. Consulting is the standout performer — growing from $8.9M in 2019 to $14.4M in 2024, a 61% increase — as demand for transformation and technology advisory services accelerated post-COVID. Advisory at $10.9M (20%) mirrors Consulting's trajectory with 60% cumulative growth. The forecast assumes Consulting and Advisory continue to outgrow Audit and Tax, reflecting structural demand shifts toward higher-value advisory services.</t>
  </si>
  <si>
    <t>Bear Case (2025 Total Revenue: $57.1M, Margin: 8.3%) — assumes lower utilization at 82.0% and realization at 88%, reflecting potential headwinds from economic slowdown reducing client discretionary spend, increased competition for talent driving up cost per hour, and billing pressure from large clients seeking rate concessions. Under Bear, engagement margin per hour falls to $19.36 vs $24.30 in Base.
Base Case (2025 Total Revenue: $59.1M, Margin: 10.1%) — assumes continuation of current utilization trends at 82.5% and 90% realization. Revenue growth moderates to 6.5% reflecting normalisation after strong post-COVID recovery. This is the most likely outcome given current pipeline visibility.
Bull Case (2025 Total Revenue: $60.7M, Margin: 11.8%) — assumes utilization improves to 83.0% driven by large mandate wins and strong demand for Consulting and Advisory services. Realization improves to 92% reflecting stronger pricing power and reduced write-offs. Under Bull, engagement margin per hour reaches $29.41 — the highest in the model's history.</t>
  </si>
  <si>
    <t>DELOITTE SCENARIO 2025 &amp; 2026</t>
  </si>
  <si>
    <t>1.)Prioritize Consulting and Advisory investment — these service lines deliver the highest margins at 10-11% and are growing at 10%+ annually. Every incremental dollar invested here generates superior returns versus Audit.
2.)Defend 90% realization through billing discipline — realization has held steady throughout the model period. Any compression below 88% materially impacts margins as shown in the Bear case.
3.)Maintain utilization above 82% — the single biggest driver of the 250bps margin expansion over six years. Strong pipeline coverage and minimizing bench time is critical.
4.)Monitor cost per hour growth closely — the primary downside risk to the forecast. If talent competition drives cost per hour above 2% annually, margins compress back toward 8-9%.
5.)Invest in technology to protect Audit margins — Audit is the slowest growing service line at 8% annually and faces structural pressure from automated audit tools. Technology investment can protect margins while managing headcount growth.                           
6.)Build 6-month pipeline visibility — the key operational metric supporting the utilization assumption. Surprise gaps in pipeline are the fastest path to utilization falling below target.</t>
  </si>
  <si>
    <t>ACTIVE SCENARIO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</si>
</sst>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8" formatCode="&quot;$&quot;#,##0.00;[Red]\-&quot;$&quot;#,##0.00"/>
    <numFmt numFmtId="44" formatCode="_-&quot;$&quot;* #,##0.00_-;\-&quot;$&quot;* #,##0.00_-;_-&quot;$&quot;* &quot;-&quot;??_-;_-@_-"/>
    <numFmt numFmtId="43" formatCode="_-* #,##0.00_-;\-* #,##0.00_-;_-* &quot;-&quot;??_-;_-@_-"/>
    <numFmt numFmtId="164" formatCode="&quot;$&quot;#,##0.00"/>
    <numFmt numFmtId="165" formatCode="0.0%"/>
    <numFmt numFmtId="166" formatCode="_-* #,##0_-;\-* #,##0_-;_-* &quot;-&quot;??_-;_-@_-"/>
  </numFmts>
  <fonts count="6">
    <font>
      <sz val="11"/>
      <color theme="1"/>
      <name val="Aptos Narrow"/>
      <family val="2"/>
      <scheme val="minor"/>
    </font>
    <font>
      <sz val="11"/>
      <color theme="1"/>
      <name val="Aptos Narrow"/>
      <family val="2"/>
      <scheme val="minor"/>
    </font>
    <font>
      <b/>
      <sz val="11"/>
      <color theme="1"/>
      <name val="Aptos Narrow"/>
      <family val="2"/>
      <scheme val="minor"/>
    </font>
    <font>
      <sz val="10"/>
      <color rgb="FFEAECF0"/>
      <name val="Aptos Narrow"/>
      <family val="2"/>
      <scheme val="minor"/>
    </font>
    <font>
      <b/>
      <sz val="10"/>
      <color theme="1"/>
      <name val="Arial Unicode MS"/>
    </font>
    <font>
      <sz val="8"/>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92D05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top/>
      <bottom style="medium">
        <color indexed="64"/>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style="thin">
        <color indexed="64"/>
      </top>
      <bottom/>
      <diagonal/>
    </border>
  </borders>
  <cellStyleXfs count="4">
    <xf numFmtId="0" fontId="0" fillId="0" borderId="0"/>
    <xf numFmtId="9"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159">
    <xf numFmtId="0" fontId="0" fillId="0" borderId="0" xfId="0"/>
    <xf numFmtId="0" fontId="0" fillId="0" borderId="0" xfId="0" applyAlignment="1">
      <alignment horizontal="center"/>
    </xf>
    <xf numFmtId="0" fontId="0" fillId="0" borderId="0" xfId="0" applyAlignment="1">
      <alignment vertical="center" wrapText="1"/>
    </xf>
    <xf numFmtId="9" fontId="0" fillId="0" borderId="0" xfId="0" applyNumberFormat="1" applyAlignment="1">
      <alignment vertical="center" wrapText="1"/>
    </xf>
    <xf numFmtId="164" fontId="0" fillId="0" borderId="0" xfId="0" applyNumberFormat="1"/>
    <xf numFmtId="0" fontId="0" fillId="0" borderId="1" xfId="0" applyBorder="1"/>
    <xf numFmtId="164" fontId="0" fillId="0" borderId="1" xfId="0" applyNumberFormat="1" applyBorder="1"/>
    <xf numFmtId="9" fontId="0" fillId="0" borderId="1" xfId="1" applyFont="1" applyBorder="1"/>
    <xf numFmtId="0" fontId="2" fillId="0" borderId="0" xfId="0" applyFont="1"/>
    <xf numFmtId="164" fontId="0" fillId="0" borderId="0" xfId="1" applyNumberFormat="1" applyFont="1"/>
    <xf numFmtId="0" fontId="2" fillId="2" borderId="1" xfId="0" applyFont="1" applyFill="1" applyBorder="1"/>
    <xf numFmtId="0" fontId="2" fillId="0" borderId="0" xfId="0" applyFont="1" applyAlignment="1">
      <alignment horizontal="center" vertical="center" wrapText="1"/>
    </xf>
    <xf numFmtId="0" fontId="3" fillId="0" borderId="0" xfId="0" applyFont="1" applyAlignment="1">
      <alignment vertical="center"/>
    </xf>
    <xf numFmtId="10" fontId="0" fillId="0" borderId="0" xfId="0" applyNumberFormat="1"/>
    <xf numFmtId="10" fontId="0" fillId="0" borderId="0" xfId="0" applyNumberFormat="1" applyAlignment="1">
      <alignment vertical="center" wrapText="1"/>
    </xf>
    <xf numFmtId="0" fontId="0" fillId="0" borderId="0" xfId="0" applyAlignment="1">
      <alignment horizontal="left" vertical="center" indent="1"/>
    </xf>
    <xf numFmtId="0" fontId="2" fillId="0" borderId="0" xfId="0" applyFont="1" applyAlignment="1">
      <alignment horizontal="left" vertical="center" indent="1"/>
    </xf>
    <xf numFmtId="0" fontId="0" fillId="0" borderId="1" xfId="0" applyBorder="1" applyAlignment="1">
      <alignment vertical="center" wrapText="1"/>
    </xf>
    <xf numFmtId="164" fontId="0" fillId="0" borderId="1" xfId="0" applyNumberFormat="1" applyBorder="1" applyAlignment="1">
      <alignment vertical="center" wrapText="1"/>
    </xf>
    <xf numFmtId="10" fontId="0" fillId="0" borderId="1" xfId="1" applyNumberFormat="1" applyFont="1" applyBorder="1"/>
    <xf numFmtId="9" fontId="0" fillId="0" borderId="0" xfId="1" applyFont="1"/>
    <xf numFmtId="10" fontId="0" fillId="0" borderId="0" xfId="1" applyNumberFormat="1" applyFont="1"/>
    <xf numFmtId="9" fontId="0" fillId="0" borderId="0" xfId="1" applyFont="1" applyAlignment="1">
      <alignment vertical="center" wrapText="1"/>
    </xf>
    <xf numFmtId="0" fontId="0" fillId="0" borderId="3" xfId="0" applyBorder="1"/>
    <xf numFmtId="0" fontId="0" fillId="0" borderId="0" xfId="0" applyAlignment="1">
      <alignment horizontal="left" wrapText="1"/>
    </xf>
    <xf numFmtId="164" fontId="0" fillId="0" borderId="1" xfId="1" applyNumberFormat="1" applyFont="1" applyBorder="1"/>
    <xf numFmtId="164" fontId="0" fillId="0" borderId="0" xfId="0" applyNumberFormat="1" applyAlignment="1">
      <alignment vertical="center" wrapText="1"/>
    </xf>
    <xf numFmtId="0" fontId="2" fillId="2" borderId="3" xfId="0" applyFont="1" applyFill="1" applyBorder="1" applyAlignment="1">
      <alignment vertical="center" wrapText="1"/>
    </xf>
    <xf numFmtId="9" fontId="0" fillId="0" borderId="0" xfId="1" applyFont="1" applyAlignment="1"/>
    <xf numFmtId="165" fontId="0" fillId="0" borderId="0" xfId="0" applyNumberFormat="1"/>
    <xf numFmtId="10" fontId="0" fillId="0" borderId="0" xfId="1" applyNumberFormat="1" applyFont="1" applyAlignment="1"/>
    <xf numFmtId="10" fontId="0" fillId="0" borderId="0" xfId="1" applyNumberFormat="1" applyFont="1" applyAlignment="1">
      <alignment vertical="center"/>
    </xf>
    <xf numFmtId="165" fontId="0" fillId="0" borderId="0" xfId="0" applyNumberFormat="1" applyAlignment="1">
      <alignment vertical="center"/>
    </xf>
    <xf numFmtId="0" fontId="2" fillId="2" borderId="1" xfId="0" applyFont="1" applyFill="1" applyBorder="1" applyAlignment="1">
      <alignment vertical="center" wrapText="1"/>
    </xf>
    <xf numFmtId="9" fontId="0" fillId="0" borderId="0" xfId="0" applyNumberFormat="1"/>
    <xf numFmtId="10" fontId="0" fillId="0" borderId="0" xfId="1" applyNumberFormat="1" applyFont="1" applyBorder="1"/>
    <xf numFmtId="9" fontId="0" fillId="0" borderId="0" xfId="1" applyFont="1" applyBorder="1"/>
    <xf numFmtId="6" fontId="0" fillId="0" borderId="1" xfId="0" applyNumberFormat="1" applyBorder="1" applyAlignment="1">
      <alignment vertical="center" wrapText="1"/>
    </xf>
    <xf numFmtId="164" fontId="0" fillId="0" borderId="10" xfId="1" applyNumberFormat="1" applyFont="1" applyBorder="1"/>
    <xf numFmtId="0" fontId="0" fillId="0" borderId="11" xfId="0" applyBorder="1" applyAlignment="1">
      <alignment vertical="center" wrapText="1"/>
    </xf>
    <xf numFmtId="164" fontId="0" fillId="0" borderId="11" xfId="0" applyNumberFormat="1" applyBorder="1" applyAlignment="1">
      <alignment vertical="center" wrapText="1"/>
    </xf>
    <xf numFmtId="10" fontId="0" fillId="0" borderId="11" xfId="1" applyNumberFormat="1" applyFont="1" applyBorder="1"/>
    <xf numFmtId="164" fontId="0" fillId="0" borderId="11" xfId="1" applyNumberFormat="1" applyFont="1" applyBorder="1"/>
    <xf numFmtId="9" fontId="0" fillId="0" borderId="11" xfId="1" applyFont="1" applyBorder="1"/>
    <xf numFmtId="0" fontId="0" fillId="0" borderId="10" xfId="0" applyBorder="1" applyAlignment="1">
      <alignment vertical="center" wrapText="1"/>
    </xf>
    <xf numFmtId="6" fontId="0" fillId="0" borderId="10" xfId="0" applyNumberFormat="1" applyBorder="1" applyAlignment="1">
      <alignment vertical="center" wrapText="1"/>
    </xf>
    <xf numFmtId="164" fontId="0" fillId="0" borderId="10" xfId="0" applyNumberFormat="1" applyBorder="1" applyAlignment="1">
      <alignment vertical="center" wrapText="1"/>
    </xf>
    <xf numFmtId="10" fontId="0" fillId="0" borderId="10" xfId="1" applyNumberFormat="1" applyFont="1" applyBorder="1"/>
    <xf numFmtId="9" fontId="0" fillId="0" borderId="10" xfId="1" applyFont="1" applyBorder="1"/>
    <xf numFmtId="0" fontId="0" fillId="0" borderId="12" xfId="0" applyBorder="1" applyAlignment="1">
      <alignment vertical="center" wrapText="1"/>
    </xf>
    <xf numFmtId="0" fontId="0" fillId="0" borderId="13" xfId="0" applyBorder="1" applyAlignment="1">
      <alignment vertical="center" wrapText="1"/>
    </xf>
    <xf numFmtId="6" fontId="0" fillId="0" borderId="13" xfId="0" applyNumberFormat="1" applyBorder="1" applyAlignment="1">
      <alignment vertical="center" wrapText="1"/>
    </xf>
    <xf numFmtId="164" fontId="0" fillId="0" borderId="13" xfId="0" applyNumberFormat="1" applyBorder="1" applyAlignment="1">
      <alignment vertical="center" wrapText="1"/>
    </xf>
    <xf numFmtId="10" fontId="0" fillId="0" borderId="13" xfId="1" applyNumberFormat="1" applyFont="1" applyBorder="1"/>
    <xf numFmtId="164" fontId="0" fillId="0" borderId="13" xfId="1" applyNumberFormat="1" applyFont="1" applyBorder="1"/>
    <xf numFmtId="9" fontId="0" fillId="0" borderId="13" xfId="1" applyFont="1" applyBorder="1"/>
    <xf numFmtId="10" fontId="0" fillId="0" borderId="14" xfId="1" applyNumberFormat="1" applyFont="1" applyBorder="1"/>
    <xf numFmtId="0" fontId="0" fillId="0" borderId="15" xfId="0" applyBorder="1" applyAlignment="1">
      <alignment vertical="center" wrapText="1"/>
    </xf>
    <xf numFmtId="10" fontId="0" fillId="0" borderId="16" xfId="1" applyNumberFormat="1" applyFont="1" applyBorder="1"/>
    <xf numFmtId="0" fontId="0" fillId="0" borderId="17" xfId="0" applyBorder="1" applyAlignment="1">
      <alignment vertical="center" wrapText="1"/>
    </xf>
    <xf numFmtId="0" fontId="0" fillId="0" borderId="18" xfId="0" applyBorder="1" applyAlignment="1">
      <alignment vertical="center" wrapText="1"/>
    </xf>
    <xf numFmtId="6" fontId="0" fillId="0" borderId="18" xfId="0" applyNumberFormat="1" applyBorder="1" applyAlignment="1">
      <alignment vertical="center" wrapText="1"/>
    </xf>
    <xf numFmtId="164" fontId="0" fillId="0" borderId="18" xfId="0" applyNumberFormat="1" applyBorder="1" applyAlignment="1">
      <alignment vertical="center" wrapText="1"/>
    </xf>
    <xf numFmtId="10" fontId="0" fillId="0" borderId="18" xfId="1" applyNumberFormat="1" applyFont="1" applyBorder="1"/>
    <xf numFmtId="164" fontId="0" fillId="0" borderId="18" xfId="1" applyNumberFormat="1" applyFont="1" applyBorder="1"/>
    <xf numFmtId="9" fontId="0" fillId="0" borderId="18" xfId="1" applyFont="1" applyBorder="1"/>
    <xf numFmtId="10" fontId="0" fillId="0" borderId="19" xfId="1" applyNumberFormat="1" applyFont="1" applyBorder="1"/>
    <xf numFmtId="0" fontId="2" fillId="2" borderId="11" xfId="0" applyFont="1" applyFill="1" applyBorder="1"/>
    <xf numFmtId="10" fontId="2" fillId="2" borderId="11" xfId="0" applyNumberFormat="1" applyFont="1" applyFill="1" applyBorder="1"/>
    <xf numFmtId="0" fontId="0" fillId="0" borderId="14" xfId="0" applyBorder="1"/>
    <xf numFmtId="0" fontId="0" fillId="0" borderId="11" xfId="0" applyBorder="1"/>
    <xf numFmtId="0" fontId="0" fillId="0" borderId="4" xfId="0" applyBorder="1"/>
    <xf numFmtId="164" fontId="0" fillId="0" borderId="1" xfId="1" applyNumberFormat="1" applyFont="1" applyFill="1" applyBorder="1"/>
    <xf numFmtId="164" fontId="0" fillId="0" borderId="20" xfId="0" applyNumberFormat="1" applyBorder="1"/>
    <xf numFmtId="166" fontId="0" fillId="0" borderId="13" xfId="2" applyNumberFormat="1" applyFont="1" applyBorder="1" applyAlignment="1">
      <alignment vertical="center" wrapText="1"/>
    </xf>
    <xf numFmtId="166" fontId="0" fillId="0" borderId="1" xfId="2" applyNumberFormat="1" applyFont="1" applyBorder="1" applyAlignment="1">
      <alignment vertical="center" wrapText="1"/>
    </xf>
    <xf numFmtId="166" fontId="0" fillId="0" borderId="18" xfId="2" applyNumberFormat="1" applyFont="1" applyBorder="1" applyAlignment="1">
      <alignment vertical="center" wrapText="1"/>
    </xf>
    <xf numFmtId="166" fontId="0" fillId="0" borderId="10" xfId="2" applyNumberFormat="1" applyFont="1" applyBorder="1" applyAlignment="1">
      <alignment vertical="center" wrapText="1"/>
    </xf>
    <xf numFmtId="166" fontId="0" fillId="0" borderId="11" xfId="2" applyNumberFormat="1" applyFont="1" applyBorder="1" applyAlignment="1">
      <alignment vertical="center" wrapText="1"/>
    </xf>
    <xf numFmtId="164" fontId="0" fillId="0" borderId="6" xfId="0" applyNumberFormat="1" applyBorder="1"/>
    <xf numFmtId="164" fontId="0" fillId="0" borderId="7" xfId="0" applyNumberFormat="1" applyBorder="1"/>
    <xf numFmtId="164" fontId="0" fillId="0" borderId="8" xfId="0" applyNumberFormat="1" applyBorder="1"/>
    <xf numFmtId="0" fontId="0" fillId="0" borderId="21" xfId="0" applyBorder="1"/>
    <xf numFmtId="8" fontId="0" fillId="0" borderId="13" xfId="0" applyNumberFormat="1" applyBorder="1" applyAlignment="1">
      <alignment vertical="center" wrapText="1"/>
    </xf>
    <xf numFmtId="8" fontId="0" fillId="0" borderId="1" xfId="0" applyNumberFormat="1" applyBorder="1" applyAlignment="1">
      <alignment vertical="center" wrapText="1"/>
    </xf>
    <xf numFmtId="8" fontId="0" fillId="0" borderId="18" xfId="0" applyNumberFormat="1" applyBorder="1" applyAlignment="1">
      <alignment vertical="center" wrapText="1"/>
    </xf>
    <xf numFmtId="8" fontId="0" fillId="0" borderId="10" xfId="0" applyNumberFormat="1" applyBorder="1" applyAlignment="1">
      <alignment vertical="center" wrapText="1"/>
    </xf>
    <xf numFmtId="2" fontId="0" fillId="0" borderId="0" xfId="0" applyNumberFormat="1"/>
    <xf numFmtId="0" fontId="0" fillId="0" borderId="0" xfId="0" applyAlignment="1">
      <alignment wrapText="1"/>
    </xf>
    <xf numFmtId="164" fontId="0" fillId="0" borderId="0" xfId="0" applyNumberFormat="1" applyAlignment="1">
      <alignment wrapText="1"/>
    </xf>
    <xf numFmtId="2" fontId="0" fillId="0" borderId="0" xfId="0" applyNumberFormat="1" applyAlignment="1">
      <alignment vertical="center" wrapText="1"/>
    </xf>
    <xf numFmtId="0" fontId="2" fillId="0" borderId="0" xfId="0" applyFont="1" applyAlignment="1">
      <alignment horizontal="center"/>
    </xf>
    <xf numFmtId="0" fontId="2" fillId="3" borderId="9" xfId="0" applyFont="1" applyFill="1" applyBorder="1"/>
    <xf numFmtId="0" fontId="2" fillId="3" borderId="3" xfId="0" applyFont="1" applyFill="1" applyBorder="1" applyAlignment="1">
      <alignment vertical="center" wrapText="1"/>
    </xf>
    <xf numFmtId="0" fontId="2" fillId="3" borderId="6" xfId="0" applyFont="1" applyFill="1" applyBorder="1" applyAlignment="1">
      <alignment vertical="center" wrapText="1"/>
    </xf>
    <xf numFmtId="0" fontId="2" fillId="3" borderId="9" xfId="0" applyFont="1" applyFill="1" applyBorder="1" applyAlignment="1">
      <alignment vertical="center" wrapText="1"/>
    </xf>
    <xf numFmtId="0" fontId="0" fillId="0" borderId="6" xfId="0" applyBorder="1"/>
    <xf numFmtId="0" fontId="0" fillId="0" borderId="22" xfId="0" applyBorder="1"/>
    <xf numFmtId="0" fontId="0" fillId="0" borderId="1" xfId="0" applyBorder="1" applyAlignment="1">
      <alignment horizontal="left"/>
    </xf>
    <xf numFmtId="0" fontId="0" fillId="0" borderId="2" xfId="0" applyBorder="1"/>
    <xf numFmtId="164" fontId="0" fillId="0" borderId="2" xfId="0" applyNumberFormat="1" applyBorder="1"/>
    <xf numFmtId="0" fontId="0" fillId="0" borderId="23" xfId="0" applyBorder="1" applyAlignment="1">
      <alignment horizontal="left"/>
    </xf>
    <xf numFmtId="0" fontId="0" fillId="0" borderId="24" xfId="0" applyBorder="1"/>
    <xf numFmtId="0" fontId="0" fillId="0" borderId="26" xfId="0" applyBorder="1"/>
    <xf numFmtId="10" fontId="0" fillId="0" borderId="2" xfId="0" applyNumberFormat="1" applyBorder="1"/>
    <xf numFmtId="164" fontId="0" fillId="0" borderId="27" xfId="0" applyNumberFormat="1" applyBorder="1"/>
    <xf numFmtId="164" fontId="0" fillId="0" borderId="11" xfId="0" applyNumberFormat="1" applyBorder="1"/>
    <xf numFmtId="9" fontId="2" fillId="0" borderId="4" xfId="1" applyFont="1" applyBorder="1"/>
    <xf numFmtId="9" fontId="2" fillId="0" borderId="28" xfId="1" applyFont="1" applyBorder="1"/>
    <xf numFmtId="10" fontId="2" fillId="0" borderId="4" xfId="1" applyNumberFormat="1" applyFont="1" applyBorder="1"/>
    <xf numFmtId="0" fontId="0" fillId="0" borderId="9" xfId="0" applyBorder="1"/>
    <xf numFmtId="9" fontId="2" fillId="0" borderId="20" xfId="1" applyFont="1" applyBorder="1"/>
    <xf numFmtId="9" fontId="2" fillId="0" borderId="5" xfId="1" applyFont="1" applyBorder="1"/>
    <xf numFmtId="0" fontId="0" fillId="0" borderId="29" xfId="0" applyBorder="1"/>
    <xf numFmtId="0" fontId="2" fillId="2" borderId="9" xfId="0" applyFont="1" applyFill="1" applyBorder="1"/>
    <xf numFmtId="0" fontId="2" fillId="2" borderId="27" xfId="0" applyFont="1" applyFill="1" applyBorder="1"/>
    <xf numFmtId="166" fontId="0" fillId="0" borderId="1" xfId="2" applyNumberFormat="1" applyFont="1" applyBorder="1"/>
    <xf numFmtId="10" fontId="0" fillId="0" borderId="1" xfId="1" applyNumberFormat="1" applyFont="1" applyBorder="1" applyAlignment="1">
      <alignment horizontal="center"/>
    </xf>
    <xf numFmtId="10" fontId="0" fillId="0" borderId="1" xfId="0" applyNumberFormat="1" applyBorder="1"/>
    <xf numFmtId="0" fontId="2" fillId="2" borderId="11" xfId="0" applyFont="1" applyFill="1" applyBorder="1" applyAlignment="1">
      <alignment vertical="center" wrapText="1"/>
    </xf>
    <xf numFmtId="0" fontId="2" fillId="2" borderId="30" xfId="0" applyFont="1" applyFill="1" applyBorder="1" applyAlignment="1">
      <alignment horizontal="center" vertical="center" wrapText="1"/>
    </xf>
    <xf numFmtId="10" fontId="0" fillId="0" borderId="1" xfId="0" applyNumberFormat="1" applyBorder="1" applyAlignment="1">
      <alignment horizontal="center"/>
    </xf>
    <xf numFmtId="164" fontId="0" fillId="0" borderId="1" xfId="0" applyNumberFormat="1" applyBorder="1" applyAlignment="1">
      <alignment horizontal="center"/>
    </xf>
    <xf numFmtId="0" fontId="2" fillId="2" borderId="30" xfId="0" applyFont="1" applyFill="1" applyBorder="1"/>
    <xf numFmtId="0" fontId="2" fillId="3" borderId="25" xfId="0" applyFont="1" applyFill="1" applyBorder="1"/>
    <xf numFmtId="0" fontId="2" fillId="2" borderId="25" xfId="0" applyFont="1" applyFill="1" applyBorder="1"/>
    <xf numFmtId="0" fontId="2" fillId="2" borderId="31" xfId="0" applyFont="1" applyFill="1" applyBorder="1"/>
    <xf numFmtId="43" fontId="0" fillId="0" borderId="1" xfId="2" applyFont="1" applyBorder="1"/>
    <xf numFmtId="43" fontId="0" fillId="0" borderId="1" xfId="0" applyNumberFormat="1" applyBorder="1"/>
    <xf numFmtId="10" fontId="0" fillId="0" borderId="2" xfId="1" applyNumberFormat="1" applyFont="1" applyBorder="1"/>
    <xf numFmtId="10" fontId="2" fillId="0" borderId="28" xfId="1" applyNumberFormat="1" applyFont="1" applyBorder="1"/>
    <xf numFmtId="0" fontId="2" fillId="0" borderId="3" xfId="0" applyFont="1" applyBorder="1"/>
    <xf numFmtId="0" fontId="0" fillId="0" borderId="32" xfId="0" applyBorder="1"/>
    <xf numFmtId="0" fontId="2" fillId="3" borderId="1" xfId="0" applyFont="1" applyFill="1" applyBorder="1"/>
    <xf numFmtId="0" fontId="0" fillId="0" borderId="10" xfId="0" applyBorder="1"/>
    <xf numFmtId="0" fontId="0" fillId="0" borderId="1" xfId="0" applyBorder="1" applyAlignment="1">
      <alignment horizontal="center"/>
    </xf>
    <xf numFmtId="9" fontId="0" fillId="0" borderId="1" xfId="0" applyNumberFormat="1" applyBorder="1"/>
    <xf numFmtId="0" fontId="2" fillId="2" borderId="1" xfId="0" applyFont="1" applyFill="1" applyBorder="1" applyAlignment="1">
      <alignment horizontal="right"/>
    </xf>
    <xf numFmtId="0" fontId="2" fillId="2" borderId="1" xfId="0" applyFont="1" applyFill="1" applyBorder="1" applyAlignment="1">
      <alignment horizontal="center"/>
    </xf>
    <xf numFmtId="164" fontId="0" fillId="0" borderId="1" xfId="3" applyNumberFormat="1" applyFont="1" applyBorder="1"/>
    <xf numFmtId="0" fontId="2" fillId="3" borderId="21" xfId="0" applyFont="1" applyFill="1" applyBorder="1"/>
    <xf numFmtId="0" fontId="2" fillId="4" borderId="3" xfId="0" applyFont="1" applyFill="1" applyBorder="1"/>
    <xf numFmtId="0" fontId="2" fillId="4" borderId="29" xfId="0" applyFont="1" applyFill="1" applyBorder="1"/>
    <xf numFmtId="10" fontId="0" fillId="0" borderId="29" xfId="1" applyNumberFormat="1" applyFont="1" applyBorder="1"/>
    <xf numFmtId="0" fontId="0" fillId="0" borderId="0" xfId="0" applyAlignment="1">
      <alignment horizontal="center" vertical="center"/>
    </xf>
    <xf numFmtId="0" fontId="4" fillId="2" borderId="4" xfId="0" applyFont="1" applyFill="1" applyBorder="1" applyAlignment="1">
      <alignment horizontal="left"/>
    </xf>
    <xf numFmtId="0" fontId="4" fillId="2" borderId="5" xfId="0" applyFont="1" applyFill="1" applyBorder="1" applyAlignment="1">
      <alignment horizontal="left"/>
    </xf>
    <xf numFmtId="0" fontId="2" fillId="2" borderId="6" xfId="0" applyFont="1" applyFill="1" applyBorder="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left" wrapText="1"/>
    </xf>
    <xf numFmtId="0" fontId="0" fillId="0" borderId="0" xfId="0" applyAlignment="1">
      <alignment horizontal="left" vertical="center" wrapText="1"/>
    </xf>
    <xf numFmtId="0" fontId="2" fillId="3" borderId="6" xfId="0" applyFont="1" applyFill="1" applyBorder="1" applyAlignment="1">
      <alignment horizontal="left"/>
    </xf>
    <xf numFmtId="0" fontId="2" fillId="3" borderId="7" xfId="0" applyFont="1" applyFill="1" applyBorder="1" applyAlignment="1">
      <alignment horizontal="left"/>
    </xf>
    <xf numFmtId="0" fontId="2" fillId="3" borderId="8" xfId="0" applyFont="1" applyFill="1" applyBorder="1" applyAlignment="1">
      <alignment horizontal="left"/>
    </xf>
    <xf numFmtId="0" fontId="2" fillId="3" borderId="1" xfId="0" applyFont="1" applyFill="1" applyBorder="1" applyAlignment="1">
      <alignment horizontal="center"/>
    </xf>
    <xf numFmtId="0" fontId="0" fillId="0" borderId="0" xfId="0" applyAlignment="1">
      <alignment horizontal="left" vertical="top" wrapText="1"/>
    </xf>
  </cellXfs>
  <cellStyles count="4">
    <cellStyle name="Comma" xfId="2" builtinId="3"/>
    <cellStyle name="Currency" xfId="3" builtinId="4"/>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6"/>
            <c:invertIfNegative val="0"/>
            <c:bubble3D val="0"/>
            <c:spPr>
              <a:solidFill>
                <a:schemeClr val="accent1">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D72-4D60-9281-431D6B401A55}"/>
              </c:ext>
            </c:extLst>
          </c:dPt>
          <c:dPt>
            <c:idx val="7"/>
            <c:invertIfNegative val="0"/>
            <c:bubble3D val="0"/>
            <c:spPr>
              <a:solidFill>
                <a:schemeClr val="accent1">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7D72-4D60-9281-431D6B401A55}"/>
              </c:ext>
            </c:extLst>
          </c:dPt>
          <c:cat>
            <c:strRef>
              <c:f>REVENUE!$B$3:$I$3</c:f>
              <c:strCache>
                <c:ptCount val="8"/>
                <c:pt idx="0">
                  <c:v>2019 A</c:v>
                </c:pt>
                <c:pt idx="1">
                  <c:v>2020 A</c:v>
                </c:pt>
                <c:pt idx="2">
                  <c:v>2021 A</c:v>
                </c:pt>
                <c:pt idx="3">
                  <c:v>2022  A</c:v>
                </c:pt>
                <c:pt idx="4">
                  <c:v>2023 A</c:v>
                </c:pt>
                <c:pt idx="5">
                  <c:v>2024 A</c:v>
                </c:pt>
                <c:pt idx="6">
                  <c:v>2025 F</c:v>
                </c:pt>
                <c:pt idx="7">
                  <c:v>2026 F</c:v>
                </c:pt>
              </c:strCache>
            </c:strRef>
          </c:cat>
          <c:val>
            <c:numRef>
              <c:f>REVENUE!$B$8:$I$8</c:f>
              <c:numCache>
                <c:formatCode>"$"#,##0.00</c:formatCode>
                <c:ptCount val="8"/>
                <c:pt idx="0">
                  <c:v>37099531</c:v>
                </c:pt>
                <c:pt idx="1">
                  <c:v>34614032</c:v>
                </c:pt>
                <c:pt idx="2">
                  <c:v>40607155</c:v>
                </c:pt>
                <c:pt idx="3">
                  <c:v>45154994</c:v>
                </c:pt>
                <c:pt idx="4">
                  <c:v>50213080</c:v>
                </c:pt>
                <c:pt idx="5">
                  <c:v>55513531</c:v>
                </c:pt>
                <c:pt idx="6">
                  <c:v>59143802.148878917</c:v>
                </c:pt>
                <c:pt idx="7">
                  <c:v>63172484.198820151</c:v>
                </c:pt>
              </c:numCache>
            </c:numRef>
          </c:val>
          <c:extLst>
            <c:ext xmlns:c16="http://schemas.microsoft.com/office/drawing/2014/chart" uri="{C3380CC4-5D6E-409C-BE32-E72D297353CC}">
              <c16:uniqueId val="{00000000-7D72-4D60-9281-431D6B401A55}"/>
            </c:ext>
          </c:extLst>
        </c:ser>
        <c:dLbls>
          <c:showLegendKey val="0"/>
          <c:showVal val="0"/>
          <c:showCatName val="0"/>
          <c:showSerName val="0"/>
          <c:showPercent val="0"/>
          <c:showBubbleSize val="0"/>
        </c:dLbls>
        <c:gapWidth val="100"/>
        <c:overlap val="-24"/>
        <c:axId val="1909727759"/>
        <c:axId val="1909727279"/>
      </c:barChart>
      <c:catAx>
        <c:axId val="19097277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909727279"/>
        <c:crosses val="autoZero"/>
        <c:auto val="1"/>
        <c:lblAlgn val="ctr"/>
        <c:lblOffset val="100"/>
        <c:noMultiLvlLbl val="0"/>
      </c:catAx>
      <c:valAx>
        <c:axId val="1909727279"/>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909727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Margin %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lineChart>
        <c:grouping val="standard"/>
        <c:varyColors val="0"/>
        <c:ser>
          <c:idx val="0"/>
          <c:order val="0"/>
          <c:spPr>
            <a:ln w="22225" cap="rnd">
              <a:solidFill>
                <a:schemeClr val="accent1"/>
              </a:solidFill>
            </a:ln>
            <a:effectLst>
              <a:glow rad="139700">
                <a:schemeClr val="accent1">
                  <a:satMod val="175000"/>
                  <a:alpha val="14000"/>
                </a:schemeClr>
              </a:glow>
            </a:effectLst>
          </c:spPr>
          <c:marker>
            <c:symbol val="none"/>
          </c:marker>
          <c:cat>
            <c:strRef>
              <c:f>'P&amp;L'!$B$2:$I$2</c:f>
              <c:strCache>
                <c:ptCount val="8"/>
                <c:pt idx="0">
                  <c:v>2019 A</c:v>
                </c:pt>
                <c:pt idx="1">
                  <c:v>2020 A</c:v>
                </c:pt>
                <c:pt idx="2">
                  <c:v>2021 A</c:v>
                </c:pt>
                <c:pt idx="3">
                  <c:v>2022 A</c:v>
                </c:pt>
                <c:pt idx="4">
                  <c:v>2023 A</c:v>
                </c:pt>
                <c:pt idx="5">
                  <c:v>2024 A</c:v>
                </c:pt>
                <c:pt idx="6">
                  <c:v>2025 F</c:v>
                </c:pt>
                <c:pt idx="7">
                  <c:v>2026 F</c:v>
                </c:pt>
              </c:strCache>
            </c:strRef>
          </c:cat>
          <c:val>
            <c:numRef>
              <c:f>'P&amp;L'!$B$22:$I$22</c:f>
              <c:numCache>
                <c:formatCode>0%</c:formatCode>
                <c:ptCount val="8"/>
                <c:pt idx="0">
                  <c:v>7.2764558667871029E-2</c:v>
                </c:pt>
                <c:pt idx="1">
                  <c:v>5.9341021005585248E-2</c:v>
                </c:pt>
                <c:pt idx="2">
                  <c:v>7.6517426547119585E-2</c:v>
                </c:pt>
                <c:pt idx="3">
                  <c:v>8.537248393832142E-2</c:v>
                </c:pt>
                <c:pt idx="4">
                  <c:v>8.8683665690294247E-2</c:v>
                </c:pt>
                <c:pt idx="5">
                  <c:v>9.7877596725021873E-2</c:v>
                </c:pt>
                <c:pt idx="6">
                  <c:v>0.1007911422403682</c:v>
                </c:pt>
                <c:pt idx="7">
                  <c:v>0.10403433776980195</c:v>
                </c:pt>
              </c:numCache>
            </c:numRef>
          </c:val>
          <c:smooth val="0"/>
          <c:extLst>
            <c:ext xmlns:c16="http://schemas.microsoft.com/office/drawing/2014/chart" uri="{C3380CC4-5D6E-409C-BE32-E72D297353CC}">
              <c16:uniqueId val="{00000000-C367-4362-9422-AC1635014538}"/>
            </c:ext>
          </c:extLst>
        </c:ser>
        <c:dLbls>
          <c:showLegendKey val="0"/>
          <c:showVal val="0"/>
          <c:showCatName val="0"/>
          <c:showSerName val="0"/>
          <c:showPercent val="0"/>
          <c:showBubbleSize val="0"/>
        </c:dLbls>
        <c:smooth val="0"/>
        <c:axId val="463305279"/>
        <c:axId val="463305759"/>
      </c:lineChart>
      <c:catAx>
        <c:axId val="46330527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463305759"/>
        <c:crosses val="autoZero"/>
        <c:auto val="1"/>
        <c:lblAlgn val="ctr"/>
        <c:lblOffset val="100"/>
        <c:noMultiLvlLbl val="0"/>
      </c:catAx>
      <c:valAx>
        <c:axId val="46330575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463305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CA"/>
              <a:t>Service</a:t>
            </a:r>
            <a:r>
              <a:rPr lang="fr-CA" baseline="0"/>
              <a:t> Line Revenue</a:t>
            </a:r>
            <a:endParaRPr lang="fr-CA"/>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CA"/>
        </a:p>
      </c:txPr>
    </c:title>
    <c:autoTitleDeleted val="0"/>
    <c:plotArea>
      <c:layout>
        <c:manualLayout>
          <c:layoutTarget val="inner"/>
          <c:xMode val="edge"/>
          <c:yMode val="edge"/>
          <c:x val="0.17003958880139983"/>
          <c:y val="0.13210666375036453"/>
          <c:w val="0.73387707786526679"/>
          <c:h val="0.74704469233012527"/>
        </c:manualLayout>
      </c:layout>
      <c:barChart>
        <c:barDir val="bar"/>
        <c:grouping val="clustered"/>
        <c:varyColors val="0"/>
        <c:ser>
          <c:idx val="0"/>
          <c:order val="0"/>
          <c:tx>
            <c:strRef>
              <c:f>REVENUE!$A$4</c:f>
              <c:strCache>
                <c:ptCount val="1"/>
                <c:pt idx="0">
                  <c:v>Audit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REVENUE!$B$3:$I$3</c:f>
              <c:strCache>
                <c:ptCount val="8"/>
                <c:pt idx="0">
                  <c:v>2019 A</c:v>
                </c:pt>
                <c:pt idx="1">
                  <c:v>2020 A</c:v>
                </c:pt>
                <c:pt idx="2">
                  <c:v>2021 A</c:v>
                </c:pt>
                <c:pt idx="3">
                  <c:v>2022  A</c:v>
                </c:pt>
                <c:pt idx="4">
                  <c:v>2023 A</c:v>
                </c:pt>
                <c:pt idx="5">
                  <c:v>2024 A</c:v>
                </c:pt>
                <c:pt idx="6">
                  <c:v>2025 F</c:v>
                </c:pt>
                <c:pt idx="7">
                  <c:v>2026 F</c:v>
                </c:pt>
              </c:strCache>
            </c:strRef>
          </c:cat>
          <c:val>
            <c:numRef>
              <c:f>REVENUE!$B$4:$I$4</c:f>
              <c:numCache>
                <c:formatCode>"$"#,##0.00</c:formatCode>
                <c:ptCount val="8"/>
                <c:pt idx="0">
                  <c:v>11219625</c:v>
                </c:pt>
                <c:pt idx="1">
                  <c:v>10498302</c:v>
                </c:pt>
                <c:pt idx="2">
                  <c:v>12322387</c:v>
                </c:pt>
                <c:pt idx="3">
                  <c:v>13596595</c:v>
                </c:pt>
                <c:pt idx="4">
                  <c:v>15043680</c:v>
                </c:pt>
                <c:pt idx="5">
                  <c:v>16244400</c:v>
                </c:pt>
                <c:pt idx="6">
                  <c:v>17505699.699646648</c:v>
                </c:pt>
                <c:pt idx="7">
                  <c:v>18698130.615300335</c:v>
                </c:pt>
              </c:numCache>
            </c:numRef>
          </c:val>
          <c:extLst>
            <c:ext xmlns:c16="http://schemas.microsoft.com/office/drawing/2014/chart" uri="{C3380CC4-5D6E-409C-BE32-E72D297353CC}">
              <c16:uniqueId val="{00000001-11DD-465C-941E-1F61723B1463}"/>
            </c:ext>
          </c:extLst>
        </c:ser>
        <c:ser>
          <c:idx val="1"/>
          <c:order val="1"/>
          <c:tx>
            <c:strRef>
              <c:f>REVENUE!$A$5</c:f>
              <c:strCache>
                <c:ptCount val="1"/>
                <c:pt idx="0">
                  <c:v>Tax</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REVENUE!$B$3:$I$3</c:f>
              <c:strCache>
                <c:ptCount val="8"/>
                <c:pt idx="0">
                  <c:v>2019 A</c:v>
                </c:pt>
                <c:pt idx="1">
                  <c:v>2020 A</c:v>
                </c:pt>
                <c:pt idx="2">
                  <c:v>2021 A</c:v>
                </c:pt>
                <c:pt idx="3">
                  <c:v>2022  A</c:v>
                </c:pt>
                <c:pt idx="4">
                  <c:v>2023 A</c:v>
                </c:pt>
                <c:pt idx="5">
                  <c:v>2024 A</c:v>
                </c:pt>
                <c:pt idx="6">
                  <c:v>2025 F</c:v>
                </c:pt>
                <c:pt idx="7">
                  <c:v>2026 F</c:v>
                </c:pt>
              </c:strCache>
            </c:strRef>
          </c:cat>
          <c:val>
            <c:numRef>
              <c:f>REVENUE!$B$5:$I$5</c:f>
              <c:numCache>
                <c:formatCode>"$"#,##0.00</c:formatCode>
                <c:ptCount val="8"/>
                <c:pt idx="0">
                  <c:v>10066800</c:v>
                </c:pt>
                <c:pt idx="1">
                  <c:v>9471744</c:v>
                </c:pt>
                <c:pt idx="2">
                  <c:v>10692864</c:v>
                </c:pt>
                <c:pt idx="3">
                  <c:v>11630527</c:v>
                </c:pt>
                <c:pt idx="4">
                  <c:v>12657870</c:v>
                </c:pt>
                <c:pt idx="5">
                  <c:v>13948675</c:v>
                </c:pt>
                <c:pt idx="6">
                  <c:v>14838467.636318669</c:v>
                </c:pt>
                <c:pt idx="7">
                  <c:v>15849215.44155094</c:v>
                </c:pt>
              </c:numCache>
            </c:numRef>
          </c:val>
          <c:extLst>
            <c:ext xmlns:c16="http://schemas.microsoft.com/office/drawing/2014/chart" uri="{C3380CC4-5D6E-409C-BE32-E72D297353CC}">
              <c16:uniqueId val="{00000002-11DD-465C-941E-1F61723B1463}"/>
            </c:ext>
          </c:extLst>
        </c:ser>
        <c:ser>
          <c:idx val="2"/>
          <c:order val="2"/>
          <c:tx>
            <c:strRef>
              <c:f>REVENUE!$A$6</c:f>
              <c:strCache>
                <c:ptCount val="1"/>
                <c:pt idx="0">
                  <c:v>Consulting</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REVENUE!$B$3:$I$3</c:f>
              <c:strCache>
                <c:ptCount val="8"/>
                <c:pt idx="0">
                  <c:v>2019 A</c:v>
                </c:pt>
                <c:pt idx="1">
                  <c:v>2020 A</c:v>
                </c:pt>
                <c:pt idx="2">
                  <c:v>2021 A</c:v>
                </c:pt>
                <c:pt idx="3">
                  <c:v>2022  A</c:v>
                </c:pt>
                <c:pt idx="4">
                  <c:v>2023 A</c:v>
                </c:pt>
                <c:pt idx="5">
                  <c:v>2024 A</c:v>
                </c:pt>
                <c:pt idx="6">
                  <c:v>2025 F</c:v>
                </c:pt>
                <c:pt idx="7">
                  <c:v>2026 F</c:v>
                </c:pt>
              </c:strCache>
            </c:strRef>
          </c:cat>
          <c:val>
            <c:numRef>
              <c:f>REVENUE!$B$6:$I$6</c:f>
              <c:numCache>
                <c:formatCode>"$"#,##0.00</c:formatCode>
                <c:ptCount val="8"/>
                <c:pt idx="0">
                  <c:v>8926898</c:v>
                </c:pt>
                <c:pt idx="1">
                  <c:v>8313228</c:v>
                </c:pt>
                <c:pt idx="2">
                  <c:v>9954144</c:v>
                </c:pt>
                <c:pt idx="3">
                  <c:v>11335168</c:v>
                </c:pt>
                <c:pt idx="4">
                  <c:v>12824038</c:v>
                </c:pt>
                <c:pt idx="5">
                  <c:v>14414976</c:v>
                </c:pt>
                <c:pt idx="6">
                  <c:v>15182215.921329914</c:v>
                </c:pt>
                <c:pt idx="7">
                  <c:v>16216378.733633202</c:v>
                </c:pt>
              </c:numCache>
            </c:numRef>
          </c:val>
          <c:extLst>
            <c:ext xmlns:c16="http://schemas.microsoft.com/office/drawing/2014/chart" uri="{C3380CC4-5D6E-409C-BE32-E72D297353CC}">
              <c16:uniqueId val="{00000003-11DD-465C-941E-1F61723B1463}"/>
            </c:ext>
          </c:extLst>
        </c:ser>
        <c:ser>
          <c:idx val="3"/>
          <c:order val="3"/>
          <c:tx>
            <c:strRef>
              <c:f>REVENUE!$A$7</c:f>
              <c:strCache>
                <c:ptCount val="1"/>
                <c:pt idx="0">
                  <c:v>Advisory</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REVENUE!$B$3:$I$3</c:f>
              <c:strCache>
                <c:ptCount val="8"/>
                <c:pt idx="0">
                  <c:v>2019 A</c:v>
                </c:pt>
                <c:pt idx="1">
                  <c:v>2020 A</c:v>
                </c:pt>
                <c:pt idx="2">
                  <c:v>2021 A</c:v>
                </c:pt>
                <c:pt idx="3">
                  <c:v>2022  A</c:v>
                </c:pt>
                <c:pt idx="4">
                  <c:v>2023 A</c:v>
                </c:pt>
                <c:pt idx="5">
                  <c:v>2024 A</c:v>
                </c:pt>
                <c:pt idx="6">
                  <c:v>2025 F</c:v>
                </c:pt>
                <c:pt idx="7">
                  <c:v>2026 F</c:v>
                </c:pt>
              </c:strCache>
            </c:strRef>
          </c:cat>
          <c:val>
            <c:numRef>
              <c:f>REVENUE!$B$7:$I$7</c:f>
              <c:numCache>
                <c:formatCode>"$"#,##0.00</c:formatCode>
                <c:ptCount val="8"/>
                <c:pt idx="0">
                  <c:v>6886208</c:v>
                </c:pt>
                <c:pt idx="1">
                  <c:v>6330758</c:v>
                </c:pt>
                <c:pt idx="2">
                  <c:v>7637760</c:v>
                </c:pt>
                <c:pt idx="3">
                  <c:v>8592704</c:v>
                </c:pt>
                <c:pt idx="4">
                  <c:v>9687492</c:v>
                </c:pt>
                <c:pt idx="5">
                  <c:v>10905480</c:v>
                </c:pt>
                <c:pt idx="6">
                  <c:v>11617418.891583685</c:v>
                </c:pt>
                <c:pt idx="7">
                  <c:v>12408759.408335676</c:v>
                </c:pt>
              </c:numCache>
            </c:numRef>
          </c:val>
          <c:extLst>
            <c:ext xmlns:c16="http://schemas.microsoft.com/office/drawing/2014/chart" uri="{C3380CC4-5D6E-409C-BE32-E72D297353CC}">
              <c16:uniqueId val="{00000004-11DD-465C-941E-1F61723B1463}"/>
            </c:ext>
          </c:extLst>
        </c:ser>
        <c:dLbls>
          <c:showLegendKey val="0"/>
          <c:showVal val="0"/>
          <c:showCatName val="0"/>
          <c:showSerName val="0"/>
          <c:showPercent val="0"/>
          <c:showBubbleSize val="0"/>
        </c:dLbls>
        <c:gapWidth val="150"/>
        <c:axId val="398055455"/>
        <c:axId val="1914021791"/>
      </c:barChart>
      <c:catAx>
        <c:axId val="39805545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914021791"/>
        <c:crosses val="autoZero"/>
        <c:auto val="1"/>
        <c:lblAlgn val="ctr"/>
        <c:lblOffset val="100"/>
        <c:noMultiLvlLbl val="0"/>
      </c:catAx>
      <c:valAx>
        <c:axId val="1914021791"/>
        <c:scaling>
          <c:orientation val="minMax"/>
        </c:scaling>
        <c:delete val="0"/>
        <c:axPos val="b"/>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398055455"/>
        <c:crosses val="autoZero"/>
        <c:crossBetween val="between"/>
      </c:valAx>
      <c:spPr>
        <a:noFill/>
        <a:ln>
          <a:noFill/>
        </a:ln>
        <a:effectLst/>
      </c:spPr>
    </c:plotArea>
    <c:legend>
      <c:legendPos val="r"/>
      <c:layout>
        <c:manualLayout>
          <c:xMode val="edge"/>
          <c:yMode val="edge"/>
          <c:x val="0.75378718285214363"/>
          <c:y val="0.56720946340040823"/>
          <c:w val="0.15203280839895014"/>
          <c:h val="0.312502187226596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60325</xdr:colOff>
      <xdr:row>1</xdr:row>
      <xdr:rowOff>3175</xdr:rowOff>
    </xdr:from>
    <xdr:to>
      <xdr:col>7</xdr:col>
      <xdr:colOff>365125</xdr:colOff>
      <xdr:row>15</xdr:row>
      <xdr:rowOff>168275</xdr:rowOff>
    </xdr:to>
    <xdr:graphicFrame macro="">
      <xdr:nvGraphicFramePr>
        <xdr:cNvPr id="2" name="Chart 1">
          <a:extLst>
            <a:ext uri="{FF2B5EF4-FFF2-40B4-BE49-F238E27FC236}">
              <a16:creationId xmlns:a16="http://schemas.microsoft.com/office/drawing/2014/main" id="{0887343C-16F6-E054-B12F-55B108D609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15875</xdr:colOff>
      <xdr:row>1</xdr:row>
      <xdr:rowOff>9525</xdr:rowOff>
    </xdr:from>
    <xdr:to>
      <xdr:col>15</xdr:col>
      <xdr:colOff>320675</xdr:colOff>
      <xdr:row>15</xdr:row>
      <xdr:rowOff>174625</xdr:rowOff>
    </xdr:to>
    <xdr:graphicFrame macro="">
      <xdr:nvGraphicFramePr>
        <xdr:cNvPr id="3" name="Chart 2">
          <a:extLst>
            <a:ext uri="{FF2B5EF4-FFF2-40B4-BE49-F238E27FC236}">
              <a16:creationId xmlns:a16="http://schemas.microsoft.com/office/drawing/2014/main" id="{C99BD41D-B600-7D73-9818-AB3ED1032A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60325</xdr:colOff>
      <xdr:row>16</xdr:row>
      <xdr:rowOff>149225</xdr:rowOff>
    </xdr:from>
    <xdr:to>
      <xdr:col>7</xdr:col>
      <xdr:colOff>365125</xdr:colOff>
      <xdr:row>31</xdr:row>
      <xdr:rowOff>130175</xdr:rowOff>
    </xdr:to>
    <xdr:graphicFrame macro="">
      <xdr:nvGraphicFramePr>
        <xdr:cNvPr id="4" name="Chart 3">
          <a:extLst>
            <a:ext uri="{FF2B5EF4-FFF2-40B4-BE49-F238E27FC236}">
              <a16:creationId xmlns:a16="http://schemas.microsoft.com/office/drawing/2014/main" id="{567A184E-CA0B-3DBE-92DE-B8F5235AE7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468F9-3563-4835-9966-0E10F47619A7}">
  <sheetPr>
    <tabColor rgb="FFFFC000"/>
  </sheetPr>
  <dimension ref="A1:P69"/>
  <sheetViews>
    <sheetView tabSelected="1" topLeftCell="A3" zoomScale="115" zoomScaleNormal="115" workbookViewId="0">
      <selection activeCell="E10" sqref="E10"/>
    </sheetView>
  </sheetViews>
  <sheetFormatPr defaultRowHeight="14.5"/>
  <cols>
    <col min="1" max="1" width="9.90625" bestFit="1" customWidth="1"/>
    <col min="2" max="3" width="13.90625" bestFit="1" customWidth="1"/>
    <col min="4" max="5" width="13.81640625" bestFit="1" customWidth="1"/>
    <col min="6" max="6" width="14.81640625" bestFit="1" customWidth="1"/>
    <col min="7" max="8" width="17.26953125" bestFit="1" customWidth="1"/>
    <col min="9" max="10" width="13.81640625" style="13" bestFit="1" customWidth="1"/>
    <col min="11" max="12" width="17.7265625" style="13" bestFit="1" customWidth="1"/>
    <col min="13" max="13" width="14.36328125" bestFit="1" customWidth="1"/>
  </cols>
  <sheetData>
    <row r="1" spans="1:16" ht="15" thickBot="1">
      <c r="A1" s="67" t="s">
        <v>21</v>
      </c>
      <c r="B1" s="67" t="s">
        <v>0</v>
      </c>
      <c r="C1" s="67" t="s">
        <v>1</v>
      </c>
      <c r="D1" s="67" t="s">
        <v>2</v>
      </c>
      <c r="E1" s="67" t="s">
        <v>3</v>
      </c>
      <c r="F1" s="67" t="s">
        <v>4</v>
      </c>
      <c r="G1" s="67" t="s">
        <v>5</v>
      </c>
      <c r="H1" s="67" t="s">
        <v>6</v>
      </c>
      <c r="I1" s="68" t="s">
        <v>9</v>
      </c>
      <c r="J1" s="68" t="s">
        <v>10</v>
      </c>
      <c r="K1" s="68" t="s">
        <v>43</v>
      </c>
      <c r="L1" s="68" t="s">
        <v>45</v>
      </c>
      <c r="M1" s="67" t="s">
        <v>41</v>
      </c>
      <c r="N1" s="20"/>
      <c r="O1" s="20"/>
      <c r="P1" s="20"/>
    </row>
    <row r="2" spans="1:16">
      <c r="A2" s="49">
        <v>2019</v>
      </c>
      <c r="B2" s="50" t="s">
        <v>7</v>
      </c>
      <c r="C2" s="74">
        <v>85000</v>
      </c>
      <c r="D2" s="74">
        <v>63750</v>
      </c>
      <c r="E2" s="50">
        <v>195</v>
      </c>
      <c r="F2" s="52">
        <v>11219625</v>
      </c>
      <c r="G2" s="52">
        <v>10455000</v>
      </c>
      <c r="H2" s="52">
        <f>F2-G2</f>
        <v>764625</v>
      </c>
      <c r="I2" s="53">
        <f t="shared" ref="I2:I13" si="0">D2/C2</f>
        <v>0.75</v>
      </c>
      <c r="J2" s="53">
        <f t="shared" ref="J2:J13" si="1">F2/(D2*E2)</f>
        <v>0.90253393665158366</v>
      </c>
      <c r="K2" s="54">
        <f>G2/D2</f>
        <v>164</v>
      </c>
      <c r="L2" s="55">
        <f>G2/F2</f>
        <v>0.93184932651492358</v>
      </c>
      <c r="M2" s="69"/>
      <c r="N2" s="20"/>
      <c r="O2" s="20"/>
      <c r="P2" s="20"/>
    </row>
    <row r="3" spans="1:16">
      <c r="A3" s="57">
        <v>2020</v>
      </c>
      <c r="B3" s="17" t="s">
        <v>7</v>
      </c>
      <c r="C3" s="75">
        <v>82000</v>
      </c>
      <c r="D3" s="75">
        <v>59050</v>
      </c>
      <c r="E3" s="17">
        <v>198</v>
      </c>
      <c r="F3" s="18">
        <v>10498302</v>
      </c>
      <c r="G3" s="18">
        <v>9880000</v>
      </c>
      <c r="H3" s="18">
        <f t="shared" ref="H3:H18" si="2">F3-G3</f>
        <v>618302</v>
      </c>
      <c r="I3" s="19">
        <f t="shared" si="0"/>
        <v>0.72012195121951217</v>
      </c>
      <c r="J3" s="19">
        <f t="shared" si="1"/>
        <v>0.8979124008929259</v>
      </c>
      <c r="K3" s="25">
        <f t="shared" ref="K3:K13" si="3">G3/D3</f>
        <v>167.31583403895004</v>
      </c>
      <c r="L3" s="7">
        <f t="shared" ref="L3:L13" si="4">G3/F3</f>
        <v>0.94110457100586364</v>
      </c>
      <c r="M3" s="58">
        <f>((F3-F2)/F2)</f>
        <v>-6.4291186202747416E-2</v>
      </c>
      <c r="N3" s="20"/>
      <c r="O3" s="20"/>
      <c r="P3" s="20"/>
    </row>
    <row r="4" spans="1:16">
      <c r="A4" s="57">
        <v>2021</v>
      </c>
      <c r="B4" s="17" t="s">
        <v>7</v>
      </c>
      <c r="C4" s="75">
        <v>88000</v>
      </c>
      <c r="D4" s="75">
        <v>67760</v>
      </c>
      <c r="E4" s="17">
        <v>202</v>
      </c>
      <c r="F4" s="18">
        <v>12322387</v>
      </c>
      <c r="G4" s="18">
        <v>11450000</v>
      </c>
      <c r="H4" s="18">
        <f t="shared" si="2"/>
        <v>872387</v>
      </c>
      <c r="I4" s="19">
        <f t="shared" si="0"/>
        <v>0.77</v>
      </c>
      <c r="J4" s="19">
        <f t="shared" si="1"/>
        <v>0.90026440144014397</v>
      </c>
      <c r="K4" s="25">
        <f t="shared" si="3"/>
        <v>168.97874852420307</v>
      </c>
      <c r="L4" s="7">
        <f t="shared" si="4"/>
        <v>0.92920308378563343</v>
      </c>
      <c r="M4" s="58">
        <f>((F4-F3)/F3)</f>
        <v>0.17375047888696668</v>
      </c>
      <c r="N4" s="20"/>
      <c r="O4" s="20"/>
      <c r="P4" s="20"/>
    </row>
    <row r="5" spans="1:16">
      <c r="A5" s="57">
        <v>2022</v>
      </c>
      <c r="B5" s="17" t="s">
        <v>7</v>
      </c>
      <c r="C5" s="75">
        <v>92000</v>
      </c>
      <c r="D5" s="75">
        <v>72540</v>
      </c>
      <c r="E5" s="17">
        <v>208</v>
      </c>
      <c r="F5" s="18">
        <v>13596595</v>
      </c>
      <c r="G5" s="18">
        <v>12480000</v>
      </c>
      <c r="H5" s="18">
        <f t="shared" si="2"/>
        <v>1116595</v>
      </c>
      <c r="I5" s="19">
        <f t="shared" si="0"/>
        <v>0.78847826086956518</v>
      </c>
      <c r="J5" s="19">
        <f t="shared" si="1"/>
        <v>0.90113379090581325</v>
      </c>
      <c r="K5" s="25">
        <f t="shared" si="3"/>
        <v>172.04301075268816</v>
      </c>
      <c r="L5" s="7">
        <f t="shared" si="4"/>
        <v>0.91787686549463299</v>
      </c>
      <c r="M5" s="58">
        <f>((F5-F4)/F4)</f>
        <v>0.10340593912526851</v>
      </c>
      <c r="N5" s="20"/>
      <c r="O5" s="20"/>
      <c r="P5" s="20"/>
    </row>
    <row r="6" spans="1:16">
      <c r="A6" s="57">
        <v>2023</v>
      </c>
      <c r="B6" s="17" t="s">
        <v>7</v>
      </c>
      <c r="C6" s="75">
        <v>96000</v>
      </c>
      <c r="D6" s="75">
        <v>77760</v>
      </c>
      <c r="E6" s="17">
        <v>215</v>
      </c>
      <c r="F6" s="18">
        <v>15043680</v>
      </c>
      <c r="G6" s="18">
        <v>13750000</v>
      </c>
      <c r="H6" s="18">
        <f t="shared" si="2"/>
        <v>1293680</v>
      </c>
      <c r="I6" s="19">
        <f t="shared" si="0"/>
        <v>0.81</v>
      </c>
      <c r="J6" s="19">
        <f t="shared" si="1"/>
        <v>0.89982773471145561</v>
      </c>
      <c r="K6" s="25">
        <f t="shared" si="3"/>
        <v>176.82613168724279</v>
      </c>
      <c r="L6" s="7">
        <f t="shared" si="4"/>
        <v>0.91400508386245916</v>
      </c>
      <c r="M6" s="58">
        <f>((F6-F5)/F5)</f>
        <v>0.10642995544104976</v>
      </c>
      <c r="N6" s="20"/>
      <c r="O6" s="20"/>
      <c r="P6" s="20"/>
    </row>
    <row r="7" spans="1:16" ht="15" thickBot="1">
      <c r="A7" s="59">
        <v>2024</v>
      </c>
      <c r="B7" s="60" t="s">
        <v>7</v>
      </c>
      <c r="C7" s="76">
        <v>100000</v>
      </c>
      <c r="D7" s="76">
        <v>82000</v>
      </c>
      <c r="E7" s="60">
        <v>220</v>
      </c>
      <c r="F7" s="62">
        <v>16244400</v>
      </c>
      <c r="G7" s="62">
        <v>14800000</v>
      </c>
      <c r="H7" s="62">
        <f t="shared" si="2"/>
        <v>1444400</v>
      </c>
      <c r="I7" s="63">
        <f t="shared" si="0"/>
        <v>0.82</v>
      </c>
      <c r="J7" s="63">
        <f t="shared" si="1"/>
        <v>0.90046563192904661</v>
      </c>
      <c r="K7" s="64">
        <f t="shared" si="3"/>
        <v>180.48780487804879</v>
      </c>
      <c r="L7" s="65">
        <f t="shared" si="4"/>
        <v>0.9110832040580138</v>
      </c>
      <c r="M7" s="66">
        <f>((F7-F6)/F6)</f>
        <v>7.981557703966051E-2</v>
      </c>
      <c r="N7" s="20"/>
      <c r="O7" s="20"/>
      <c r="P7" s="20"/>
    </row>
    <row r="8" spans="1:16">
      <c r="A8" s="44">
        <v>2019</v>
      </c>
      <c r="B8" s="44" t="s">
        <v>8</v>
      </c>
      <c r="C8" s="77">
        <v>62000</v>
      </c>
      <c r="D8" s="77">
        <v>49600</v>
      </c>
      <c r="E8" s="44">
        <v>225</v>
      </c>
      <c r="F8" s="46">
        <v>10066800</v>
      </c>
      <c r="G8" s="46">
        <v>9275000</v>
      </c>
      <c r="H8" s="46">
        <f t="shared" si="2"/>
        <v>791800</v>
      </c>
      <c r="I8" s="47">
        <f t="shared" si="0"/>
        <v>0.8</v>
      </c>
      <c r="J8" s="47">
        <f t="shared" si="1"/>
        <v>0.90204301075268822</v>
      </c>
      <c r="K8" s="38">
        <f t="shared" si="3"/>
        <v>186.99596774193549</v>
      </c>
      <c r="L8" s="48">
        <f t="shared" si="4"/>
        <v>0.9213454126435412</v>
      </c>
      <c r="M8" s="47"/>
      <c r="N8" s="20"/>
      <c r="O8" s="20"/>
      <c r="P8" s="20"/>
    </row>
    <row r="9" spans="1:16">
      <c r="A9" s="17">
        <v>2020</v>
      </c>
      <c r="B9" s="17" t="s">
        <v>8</v>
      </c>
      <c r="C9" s="75">
        <v>60000</v>
      </c>
      <c r="D9" s="75">
        <v>46200</v>
      </c>
      <c r="E9" s="17">
        <v>228</v>
      </c>
      <c r="F9" s="18">
        <v>9471744</v>
      </c>
      <c r="G9" s="18">
        <v>8920000</v>
      </c>
      <c r="H9" s="18">
        <f t="shared" si="2"/>
        <v>551744</v>
      </c>
      <c r="I9" s="19">
        <f t="shared" si="0"/>
        <v>0.77</v>
      </c>
      <c r="J9" s="19">
        <f t="shared" si="1"/>
        <v>0.89919343814080654</v>
      </c>
      <c r="K9" s="25">
        <f t="shared" si="3"/>
        <v>193.07359307359306</v>
      </c>
      <c r="L9" s="7">
        <f t="shared" si="4"/>
        <v>0.94174842563312522</v>
      </c>
      <c r="M9" s="19">
        <f>((F9-F8)/F8)</f>
        <v>-5.911074025509596E-2</v>
      </c>
      <c r="N9" s="20"/>
      <c r="O9" s="20"/>
      <c r="P9" s="20"/>
    </row>
    <row r="10" spans="1:16">
      <c r="A10" s="17">
        <v>2021</v>
      </c>
      <c r="B10" s="17" t="s">
        <v>8</v>
      </c>
      <c r="C10" s="75">
        <v>64000</v>
      </c>
      <c r="D10" s="75">
        <v>51200</v>
      </c>
      <c r="E10" s="17">
        <v>232</v>
      </c>
      <c r="F10" s="18">
        <v>10692864</v>
      </c>
      <c r="G10" s="18">
        <v>9850000</v>
      </c>
      <c r="H10" s="18">
        <f t="shared" si="2"/>
        <v>842864</v>
      </c>
      <c r="I10" s="19">
        <f t="shared" si="0"/>
        <v>0.8</v>
      </c>
      <c r="J10" s="19">
        <f t="shared" si="1"/>
        <v>0.9001939655172414</v>
      </c>
      <c r="K10" s="25">
        <f t="shared" si="3"/>
        <v>192.3828125</v>
      </c>
      <c r="L10" s="7">
        <f t="shared" si="4"/>
        <v>0.9211750939692116</v>
      </c>
      <c r="M10" s="19">
        <f>((F10-F9)/F9)</f>
        <v>0.12892240330819751</v>
      </c>
      <c r="N10" s="20"/>
      <c r="O10" s="20"/>
      <c r="P10" s="20"/>
    </row>
    <row r="11" spans="1:16">
      <c r="A11" s="17">
        <v>2022</v>
      </c>
      <c r="B11" s="17" t="s">
        <v>8</v>
      </c>
      <c r="C11" s="75">
        <v>67000</v>
      </c>
      <c r="D11" s="75">
        <v>54270</v>
      </c>
      <c r="E11" s="17">
        <v>238</v>
      </c>
      <c r="F11" s="18">
        <v>11630527</v>
      </c>
      <c r="G11" s="18">
        <v>10620000</v>
      </c>
      <c r="H11" s="18">
        <f t="shared" si="2"/>
        <v>1010527</v>
      </c>
      <c r="I11" s="19">
        <f t="shared" si="0"/>
        <v>0.81</v>
      </c>
      <c r="J11" s="19">
        <f t="shared" si="1"/>
        <v>0.90045624662247425</v>
      </c>
      <c r="K11" s="25">
        <f t="shared" si="3"/>
        <v>195.68822553897181</v>
      </c>
      <c r="L11" s="7">
        <f t="shared" si="4"/>
        <v>0.91311425526977408</v>
      </c>
      <c r="M11" s="19">
        <f>((F11-F10)/F10)</f>
        <v>8.7690538287964762E-2</v>
      </c>
      <c r="N11" s="20"/>
      <c r="O11" s="20"/>
      <c r="P11" s="20"/>
    </row>
    <row r="12" spans="1:16">
      <c r="A12" s="17">
        <v>2023</v>
      </c>
      <c r="B12" s="17" t="s">
        <v>8</v>
      </c>
      <c r="C12" s="75">
        <v>70000</v>
      </c>
      <c r="D12" s="75">
        <v>57400</v>
      </c>
      <c r="E12" s="17">
        <v>245</v>
      </c>
      <c r="F12" s="18">
        <v>12657870</v>
      </c>
      <c r="G12" s="18">
        <v>11580000</v>
      </c>
      <c r="H12" s="18">
        <f t="shared" si="2"/>
        <v>1077870</v>
      </c>
      <c r="I12" s="19">
        <f t="shared" si="0"/>
        <v>0.82</v>
      </c>
      <c r="J12" s="19">
        <f t="shared" si="1"/>
        <v>0.900083197041883</v>
      </c>
      <c r="K12" s="25">
        <f t="shared" si="3"/>
        <v>201.74216027874564</v>
      </c>
      <c r="L12" s="7">
        <f t="shared" si="4"/>
        <v>0.91484586269253831</v>
      </c>
      <c r="M12" s="19">
        <f>((F12-F11)/F11)</f>
        <v>8.833159494836304E-2</v>
      </c>
      <c r="N12" s="20"/>
      <c r="O12" s="20"/>
      <c r="P12" s="20"/>
    </row>
    <row r="13" spans="1:16" ht="15" thickBot="1">
      <c r="A13" s="39">
        <v>2024</v>
      </c>
      <c r="B13" s="39" t="s">
        <v>8</v>
      </c>
      <c r="C13" s="78">
        <v>74000</v>
      </c>
      <c r="D13" s="78">
        <v>61420</v>
      </c>
      <c r="E13" s="39">
        <v>252</v>
      </c>
      <c r="F13" s="40">
        <v>13948675</v>
      </c>
      <c r="G13" s="40">
        <v>12650000</v>
      </c>
      <c r="H13" s="40">
        <f t="shared" si="2"/>
        <v>1298675</v>
      </c>
      <c r="I13" s="41">
        <f t="shared" si="0"/>
        <v>0.83</v>
      </c>
      <c r="J13" s="41">
        <f t="shared" si="1"/>
        <v>0.9012029456306565</v>
      </c>
      <c r="K13" s="42">
        <f t="shared" si="3"/>
        <v>205.95897101921199</v>
      </c>
      <c r="L13" s="43">
        <f t="shared" si="4"/>
        <v>0.90689617472627326</v>
      </c>
      <c r="M13" s="41">
        <f>((F13-F12)/F12)</f>
        <v>0.10197647787502953</v>
      </c>
      <c r="N13" s="20"/>
      <c r="O13" s="20"/>
      <c r="P13" s="20"/>
    </row>
    <row r="14" spans="1:16">
      <c r="A14" s="49">
        <v>2019</v>
      </c>
      <c r="B14" s="50" t="s">
        <v>58</v>
      </c>
      <c r="C14" s="74">
        <v>45000</v>
      </c>
      <c r="D14" s="74">
        <v>34650</v>
      </c>
      <c r="E14" s="50">
        <v>285</v>
      </c>
      <c r="F14" s="51">
        <v>8926898</v>
      </c>
      <c r="G14" s="83">
        <v>8250000</v>
      </c>
      <c r="H14" s="52">
        <f t="shared" si="2"/>
        <v>676898</v>
      </c>
      <c r="I14" s="53">
        <f t="shared" ref="I14:I25" si="5">D14/C14</f>
        <v>0.77</v>
      </c>
      <c r="J14" s="53">
        <f t="shared" ref="J14:J25" si="6">F14/(D14*E14)</f>
        <v>0.9039667856509962</v>
      </c>
      <c r="K14" s="54">
        <f t="shared" ref="K14:K25" si="7">G14/D14</f>
        <v>238.0952380952381</v>
      </c>
      <c r="L14" s="55">
        <f t="shared" ref="L14:L24" si="8">G14/F14</f>
        <v>0.92417321224013094</v>
      </c>
      <c r="M14" s="56"/>
      <c r="N14" s="20"/>
      <c r="O14" s="20"/>
      <c r="P14" s="20"/>
    </row>
    <row r="15" spans="1:16">
      <c r="A15" s="57">
        <v>2020</v>
      </c>
      <c r="B15" s="17" t="s">
        <v>58</v>
      </c>
      <c r="C15" s="75">
        <v>43000</v>
      </c>
      <c r="D15" s="75">
        <v>31820</v>
      </c>
      <c r="E15" s="17">
        <v>290</v>
      </c>
      <c r="F15" s="37">
        <v>8313228</v>
      </c>
      <c r="G15" s="84">
        <v>7780000</v>
      </c>
      <c r="H15" s="18">
        <f t="shared" si="2"/>
        <v>533228</v>
      </c>
      <c r="I15" s="19">
        <f t="shared" si="5"/>
        <v>0.74</v>
      </c>
      <c r="J15" s="19">
        <f t="shared" si="6"/>
        <v>0.90088948611803465</v>
      </c>
      <c r="K15" s="25">
        <f t="shared" si="7"/>
        <v>244.50031426775612</v>
      </c>
      <c r="L15" s="7">
        <f t="shared" si="8"/>
        <v>0.93585788817532733</v>
      </c>
      <c r="M15" s="58">
        <f>((F15-F14)/F14)</f>
        <v>-6.8743924261260747E-2</v>
      </c>
      <c r="N15" s="20"/>
      <c r="O15" s="20"/>
      <c r="P15" s="20"/>
    </row>
    <row r="16" spans="1:16">
      <c r="A16" s="57">
        <v>2021</v>
      </c>
      <c r="B16" s="17" t="s">
        <v>58</v>
      </c>
      <c r="C16" s="75">
        <v>48000</v>
      </c>
      <c r="D16" s="75">
        <v>37440</v>
      </c>
      <c r="E16" s="17">
        <v>295</v>
      </c>
      <c r="F16" s="37">
        <v>9954144</v>
      </c>
      <c r="G16" s="84">
        <v>9120000</v>
      </c>
      <c r="H16" s="18">
        <f t="shared" si="2"/>
        <v>834144</v>
      </c>
      <c r="I16" s="19">
        <f t="shared" si="5"/>
        <v>0.78</v>
      </c>
      <c r="J16" s="19">
        <f t="shared" si="6"/>
        <v>0.90125162972620598</v>
      </c>
      <c r="K16" s="25">
        <f t="shared" si="7"/>
        <v>243.58974358974359</v>
      </c>
      <c r="L16" s="7">
        <f t="shared" si="8"/>
        <v>0.91620133283183369</v>
      </c>
      <c r="M16" s="58">
        <f t="shared" ref="M16:M19" si="9">((F16-F15)/F15)</f>
        <v>0.19738614170091329</v>
      </c>
      <c r="N16" s="20"/>
      <c r="O16" s="20"/>
      <c r="P16" s="20"/>
    </row>
    <row r="17" spans="1:16">
      <c r="A17" s="57">
        <v>2022</v>
      </c>
      <c r="B17" s="17" t="s">
        <v>58</v>
      </c>
      <c r="C17" s="75">
        <v>52000</v>
      </c>
      <c r="D17" s="75">
        <v>41600</v>
      </c>
      <c r="E17" s="17">
        <v>302</v>
      </c>
      <c r="F17" s="37">
        <v>11335168</v>
      </c>
      <c r="G17" s="84">
        <v>10280000</v>
      </c>
      <c r="H17" s="18">
        <f t="shared" si="2"/>
        <v>1055168</v>
      </c>
      <c r="I17" s="19">
        <f t="shared" si="5"/>
        <v>0.8</v>
      </c>
      <c r="J17" s="19">
        <f t="shared" si="6"/>
        <v>0.90225165562913912</v>
      </c>
      <c r="K17" s="25">
        <f t="shared" si="7"/>
        <v>247.11538461538461</v>
      </c>
      <c r="L17" s="7">
        <f t="shared" si="8"/>
        <v>0.90691201047924475</v>
      </c>
      <c r="M17" s="58">
        <f t="shared" si="9"/>
        <v>0.13873859972288929</v>
      </c>
      <c r="N17" s="20"/>
      <c r="O17" s="20"/>
      <c r="P17" s="20"/>
    </row>
    <row r="18" spans="1:16">
      <c r="A18" s="57">
        <v>2023</v>
      </c>
      <c r="B18" s="17" t="s">
        <v>58</v>
      </c>
      <c r="C18" s="75">
        <v>56000</v>
      </c>
      <c r="D18" s="75">
        <v>45920</v>
      </c>
      <c r="E18" s="17">
        <v>310</v>
      </c>
      <c r="F18" s="37">
        <v>12824038</v>
      </c>
      <c r="G18" s="84">
        <v>11580000</v>
      </c>
      <c r="H18" s="18">
        <f t="shared" si="2"/>
        <v>1244038</v>
      </c>
      <c r="I18" s="19">
        <f t="shared" si="5"/>
        <v>0.82</v>
      </c>
      <c r="J18" s="19">
        <f t="shared" si="6"/>
        <v>0.90086812970664265</v>
      </c>
      <c r="K18" s="25">
        <f t="shared" si="7"/>
        <v>252.17770034843207</v>
      </c>
      <c r="L18" s="7">
        <f t="shared" si="8"/>
        <v>0.90299170978750998</v>
      </c>
      <c r="M18" s="58">
        <f t="shared" si="9"/>
        <v>0.13134961916753241</v>
      </c>
      <c r="N18" s="20"/>
      <c r="O18" s="20"/>
      <c r="P18" s="20"/>
    </row>
    <row r="19" spans="1:16" ht="15" thickBot="1">
      <c r="A19" s="59">
        <v>2024</v>
      </c>
      <c r="B19" s="60" t="s">
        <v>58</v>
      </c>
      <c r="C19" s="76">
        <v>60000</v>
      </c>
      <c r="D19" s="76">
        <v>50400</v>
      </c>
      <c r="E19" s="60">
        <v>318</v>
      </c>
      <c r="F19" s="61">
        <v>14414976</v>
      </c>
      <c r="G19" s="85">
        <v>12850000</v>
      </c>
      <c r="H19" s="62">
        <f>F19-G19</f>
        <v>1564976</v>
      </c>
      <c r="I19" s="63">
        <f t="shared" si="5"/>
        <v>0.84</v>
      </c>
      <c r="J19" s="63">
        <f t="shared" si="6"/>
        <v>0.8994070080862534</v>
      </c>
      <c r="K19" s="64">
        <f t="shared" si="7"/>
        <v>254.96031746031747</v>
      </c>
      <c r="L19" s="65">
        <f t="shared" si="8"/>
        <v>0.89143401973059133</v>
      </c>
      <c r="M19" s="66">
        <f t="shared" si="9"/>
        <v>0.12405905222676351</v>
      </c>
      <c r="N19" s="20"/>
      <c r="O19" s="20"/>
      <c r="P19" s="20"/>
    </row>
    <row r="20" spans="1:16">
      <c r="A20" s="44">
        <v>2019</v>
      </c>
      <c r="B20" s="44" t="s">
        <v>59</v>
      </c>
      <c r="C20" s="77">
        <v>38000</v>
      </c>
      <c r="D20" s="77">
        <v>28880</v>
      </c>
      <c r="E20" s="44">
        <v>265</v>
      </c>
      <c r="F20" s="45">
        <v>6886208</v>
      </c>
      <c r="G20" s="86">
        <v>6420000</v>
      </c>
      <c r="H20" s="46">
        <f t="shared" ref="H20:H25" si="10">F20-G20</f>
        <v>466208</v>
      </c>
      <c r="I20" s="47">
        <f t="shared" si="5"/>
        <v>0.76</v>
      </c>
      <c r="J20" s="47">
        <f t="shared" si="6"/>
        <v>0.89978152929493549</v>
      </c>
      <c r="K20" s="38">
        <f t="shared" si="7"/>
        <v>222.29916897506925</v>
      </c>
      <c r="L20" s="48">
        <f t="shared" si="8"/>
        <v>0.9322982982796918</v>
      </c>
      <c r="M20" s="47"/>
      <c r="N20" s="20"/>
      <c r="O20" s="20"/>
      <c r="P20" s="20"/>
    </row>
    <row r="21" spans="1:16">
      <c r="A21" s="17">
        <v>2020</v>
      </c>
      <c r="B21" s="17" t="s">
        <v>59</v>
      </c>
      <c r="C21" s="75">
        <v>36000</v>
      </c>
      <c r="D21" s="75">
        <v>26280</v>
      </c>
      <c r="E21" s="17">
        <v>268</v>
      </c>
      <c r="F21" s="37">
        <v>6330758</v>
      </c>
      <c r="G21" s="84">
        <v>5980000</v>
      </c>
      <c r="H21" s="18">
        <f t="shared" si="10"/>
        <v>350758</v>
      </c>
      <c r="I21" s="19">
        <f t="shared" si="5"/>
        <v>0.73</v>
      </c>
      <c r="J21" s="19">
        <f t="shared" si="6"/>
        <v>0.89886725050546357</v>
      </c>
      <c r="K21" s="25">
        <f t="shared" si="7"/>
        <v>227.54946727549466</v>
      </c>
      <c r="L21" s="7">
        <f t="shared" si="8"/>
        <v>0.94459462832096885</v>
      </c>
      <c r="M21" s="19">
        <f>((F21-F20)/F20)</f>
        <v>-8.0661228937609783E-2</v>
      </c>
      <c r="N21" s="20"/>
      <c r="O21" s="20"/>
      <c r="P21" s="20"/>
    </row>
    <row r="22" spans="1:16">
      <c r="A22" s="17">
        <v>2021</v>
      </c>
      <c r="B22" s="17" t="s">
        <v>59</v>
      </c>
      <c r="C22" s="75">
        <v>40000</v>
      </c>
      <c r="D22" s="75">
        <v>31200</v>
      </c>
      <c r="E22" s="17">
        <v>272</v>
      </c>
      <c r="F22" s="37">
        <v>7637760</v>
      </c>
      <c r="G22" s="84">
        <v>7080000</v>
      </c>
      <c r="H22" s="18">
        <f t="shared" si="10"/>
        <v>557760</v>
      </c>
      <c r="I22" s="19">
        <f t="shared" si="5"/>
        <v>0.78</v>
      </c>
      <c r="J22" s="19">
        <f t="shared" si="6"/>
        <v>0.9</v>
      </c>
      <c r="K22" s="25">
        <f t="shared" si="7"/>
        <v>226.92307692307693</v>
      </c>
      <c r="L22" s="7">
        <f t="shared" si="8"/>
        <v>0.92697335344394172</v>
      </c>
      <c r="M22" s="19">
        <f t="shared" ref="M22:M25" si="11">((F22-F21)/F21)</f>
        <v>0.20645268702420785</v>
      </c>
      <c r="N22" s="20"/>
      <c r="O22" s="20"/>
      <c r="P22" s="20"/>
    </row>
    <row r="23" spans="1:16">
      <c r="A23" s="17">
        <v>2022</v>
      </c>
      <c r="B23" s="17" t="s">
        <v>59</v>
      </c>
      <c r="C23" s="75">
        <v>43000</v>
      </c>
      <c r="D23" s="75">
        <v>34400</v>
      </c>
      <c r="E23" s="17">
        <v>278</v>
      </c>
      <c r="F23" s="37">
        <v>8592704</v>
      </c>
      <c r="G23" s="84">
        <v>7920000</v>
      </c>
      <c r="H23" s="18">
        <f t="shared" si="10"/>
        <v>672704</v>
      </c>
      <c r="I23" s="19">
        <f t="shared" si="5"/>
        <v>0.8</v>
      </c>
      <c r="J23" s="19">
        <f t="shared" si="6"/>
        <v>0.89851765099548264</v>
      </c>
      <c r="K23" s="25">
        <f t="shared" si="7"/>
        <v>230.23255813953489</v>
      </c>
      <c r="L23" s="7">
        <f t="shared" si="8"/>
        <v>0.92171218745577643</v>
      </c>
      <c r="M23" s="19">
        <f t="shared" si="11"/>
        <v>0.12502932797050445</v>
      </c>
      <c r="N23" s="20"/>
      <c r="O23" s="20"/>
      <c r="P23" s="20"/>
    </row>
    <row r="24" spans="1:16">
      <c r="A24" s="17">
        <v>2023</v>
      </c>
      <c r="B24" s="17" t="s">
        <v>59</v>
      </c>
      <c r="C24" s="75">
        <v>46000</v>
      </c>
      <c r="D24" s="75">
        <v>37720</v>
      </c>
      <c r="E24" s="17">
        <v>285</v>
      </c>
      <c r="F24" s="37">
        <v>9687492</v>
      </c>
      <c r="G24" s="84">
        <v>8850000</v>
      </c>
      <c r="H24" s="18">
        <f t="shared" si="10"/>
        <v>837492</v>
      </c>
      <c r="I24" s="19">
        <f t="shared" si="5"/>
        <v>0.82</v>
      </c>
      <c r="J24" s="19">
        <f t="shared" si="6"/>
        <v>0.9011452810180276</v>
      </c>
      <c r="K24" s="25">
        <f t="shared" si="7"/>
        <v>234.62354188759278</v>
      </c>
      <c r="L24" s="7">
        <f t="shared" si="8"/>
        <v>0.91354914151154909</v>
      </c>
      <c r="M24" s="19">
        <f t="shared" si="11"/>
        <v>0.12740902048994124</v>
      </c>
      <c r="N24" s="20"/>
      <c r="O24" s="20"/>
      <c r="P24" s="20"/>
    </row>
    <row r="25" spans="1:16">
      <c r="A25" s="17">
        <v>2024</v>
      </c>
      <c r="B25" s="17" t="s">
        <v>59</v>
      </c>
      <c r="C25" s="75">
        <v>50000</v>
      </c>
      <c r="D25" s="75">
        <v>41500</v>
      </c>
      <c r="E25" s="17">
        <v>292</v>
      </c>
      <c r="F25" s="37">
        <v>10905480</v>
      </c>
      <c r="G25" s="84">
        <v>9780000</v>
      </c>
      <c r="H25" s="18">
        <f t="shared" si="10"/>
        <v>1125480</v>
      </c>
      <c r="I25" s="19">
        <f t="shared" si="5"/>
        <v>0.83</v>
      </c>
      <c r="J25" s="19">
        <f t="shared" si="6"/>
        <v>0.89994058425482748</v>
      </c>
      <c r="K25" s="25">
        <f t="shared" si="7"/>
        <v>235.66265060240963</v>
      </c>
      <c r="L25" s="7">
        <f>G25/F25</f>
        <v>0.89679683975395852</v>
      </c>
      <c r="M25" s="19">
        <f t="shared" si="11"/>
        <v>0.12572789737529591</v>
      </c>
      <c r="N25" s="20"/>
      <c r="O25" s="20"/>
      <c r="P25" s="20"/>
    </row>
    <row r="26" spans="1:16" ht="15" thickBot="1">
      <c r="A26" s="2"/>
      <c r="B26" s="2"/>
      <c r="C26" s="2"/>
      <c r="D26" s="2"/>
      <c r="E26" s="2"/>
      <c r="F26" s="26"/>
      <c r="G26" s="26"/>
      <c r="H26" s="26"/>
      <c r="I26" s="35"/>
      <c r="J26" s="35"/>
      <c r="K26" s="38"/>
      <c r="L26" s="36"/>
      <c r="M26" s="35"/>
      <c r="N26" s="20"/>
      <c r="O26" s="20"/>
      <c r="P26" s="20"/>
    </row>
    <row r="27" spans="1:16">
      <c r="A27" s="114" t="s">
        <v>52</v>
      </c>
      <c r="B27" s="115" t="s">
        <v>1</v>
      </c>
      <c r="C27" s="67" t="s">
        <v>2</v>
      </c>
      <c r="D27" s="67" t="s">
        <v>3</v>
      </c>
      <c r="E27" s="67" t="s">
        <v>4</v>
      </c>
      <c r="F27" s="67" t="s">
        <v>5</v>
      </c>
      <c r="G27" s="67" t="s">
        <v>6</v>
      </c>
      <c r="H27" s="68" t="s">
        <v>9</v>
      </c>
      <c r="I27" s="68" t="s">
        <v>10</v>
      </c>
      <c r="J27" s="68" t="s">
        <v>43</v>
      </c>
      <c r="K27" s="68" t="s">
        <v>45</v>
      </c>
      <c r="L27" s="67" t="s">
        <v>41</v>
      </c>
    </row>
    <row r="28" spans="1:16">
      <c r="A28" s="5">
        <v>2019</v>
      </c>
      <c r="B28" s="116">
        <f>SUMIF($A$2:$A$25,2019,C$2:C$25)</f>
        <v>230000</v>
      </c>
      <c r="C28" s="116">
        <f t="shared" ref="C28:F28" si="12">SUMIF($A$2:$A$25,2019,D$2:D$25)</f>
        <v>176880</v>
      </c>
      <c r="D28" s="6">
        <f t="shared" ref="D28:D33" si="13">E28/C28</f>
        <v>209.74406942559926</v>
      </c>
      <c r="E28" s="6">
        <f t="shared" si="12"/>
        <v>37099531</v>
      </c>
      <c r="F28" s="6">
        <f t="shared" si="12"/>
        <v>34400000</v>
      </c>
      <c r="G28" s="6">
        <f>E28-F28</f>
        <v>2699531</v>
      </c>
      <c r="H28" s="19">
        <f>C28/B28</f>
        <v>0.76904347826086961</v>
      </c>
      <c r="I28" s="117" t="s">
        <v>17</v>
      </c>
      <c r="J28" s="6">
        <f>F28/C28</f>
        <v>194.48213478064224</v>
      </c>
      <c r="K28" s="19">
        <f>F28/E28</f>
        <v>0.92723544133212898</v>
      </c>
      <c r="L28" s="118"/>
    </row>
    <row r="29" spans="1:16">
      <c r="A29" s="5">
        <v>2020</v>
      </c>
      <c r="B29" s="116">
        <f>SUMIF($A$2:$A$25,2020,C$2:C$25)</f>
        <v>221000</v>
      </c>
      <c r="C29" s="116">
        <f t="shared" ref="C29:F29" si="14">SUMIF($A$2:$A$25,2020,D$2:D$25)</f>
        <v>163350</v>
      </c>
      <c r="D29" s="6">
        <f t="shared" si="13"/>
        <v>211.90102234465871</v>
      </c>
      <c r="E29" s="6">
        <f t="shared" si="14"/>
        <v>34614032</v>
      </c>
      <c r="F29" s="6">
        <f t="shared" si="14"/>
        <v>32560000</v>
      </c>
      <c r="G29" s="6">
        <f>E29-F29</f>
        <v>2054032</v>
      </c>
      <c r="H29" s="19">
        <f t="shared" ref="H29:H32" si="15">C29/B29</f>
        <v>0.73914027149321271</v>
      </c>
      <c r="I29" s="117" t="s">
        <v>17</v>
      </c>
      <c r="J29" s="6">
        <f t="shared" ref="J29:J33" si="16">F29/C29</f>
        <v>199.32659932659934</v>
      </c>
      <c r="K29" s="19">
        <f t="shared" ref="K29:K33" si="17">F29/E29</f>
        <v>0.94065897899441475</v>
      </c>
      <c r="L29" s="118">
        <f>((E29-E28)/E28)</f>
        <v>-6.6995429133592008E-2</v>
      </c>
      <c r="M29" s="13"/>
      <c r="N29" s="13"/>
    </row>
    <row r="30" spans="1:16">
      <c r="A30" s="5">
        <v>2021</v>
      </c>
      <c r="B30" s="116">
        <f>SUMIF($A$2:$A$25,2021,C$2:C$25)</f>
        <v>240000</v>
      </c>
      <c r="C30" s="116">
        <f t="shared" ref="C30:F30" si="18">SUMIF($A$2:$A$25,2021,D$2:D$25)</f>
        <v>187600</v>
      </c>
      <c r="D30" s="6">
        <f t="shared" si="13"/>
        <v>216.45605010660981</v>
      </c>
      <c r="E30" s="6">
        <f t="shared" si="18"/>
        <v>40607155</v>
      </c>
      <c r="F30" s="6">
        <f t="shared" si="18"/>
        <v>37500000</v>
      </c>
      <c r="G30" s="6">
        <f>E30-F30</f>
        <v>3107155</v>
      </c>
      <c r="H30" s="19">
        <f t="shared" si="15"/>
        <v>0.78166666666666662</v>
      </c>
      <c r="I30" s="117" t="s">
        <v>17</v>
      </c>
      <c r="J30" s="6">
        <f t="shared" si="16"/>
        <v>199.89339019189765</v>
      </c>
      <c r="K30" s="19">
        <f t="shared" si="17"/>
        <v>0.92348257345288043</v>
      </c>
      <c r="L30" s="118">
        <f t="shared" ref="L30:L33" si="19">((E30-E29)/E29)</f>
        <v>0.17314143004201302</v>
      </c>
      <c r="M30" s="13"/>
    </row>
    <row r="31" spans="1:16">
      <c r="A31" s="5">
        <v>2022</v>
      </c>
      <c r="B31" s="116">
        <f>SUMIF($A$2:$A$25,2022,C$2:C$25)</f>
        <v>254000</v>
      </c>
      <c r="C31" s="116">
        <f t="shared" ref="C31:F31" si="20">SUMIF($A$2:$A$25,2022,D$2:D$25)</f>
        <v>202810</v>
      </c>
      <c r="D31" s="6">
        <f t="shared" si="13"/>
        <v>222.64678270302252</v>
      </c>
      <c r="E31" s="6">
        <f t="shared" si="20"/>
        <v>45154994</v>
      </c>
      <c r="F31" s="6">
        <f t="shared" si="20"/>
        <v>41300000</v>
      </c>
      <c r="G31" s="6">
        <f t="shared" ref="G31:G33" si="21">E31-F31</f>
        <v>3854994</v>
      </c>
      <c r="H31" s="19">
        <f t="shared" si="15"/>
        <v>0.79846456692913381</v>
      </c>
      <c r="I31" s="117" t="s">
        <v>17</v>
      </c>
      <c r="J31" s="6">
        <f t="shared" si="16"/>
        <v>203.6388738227898</v>
      </c>
      <c r="K31" s="19">
        <f t="shared" si="17"/>
        <v>0.91462751606167858</v>
      </c>
      <c r="L31" s="118">
        <f t="shared" si="19"/>
        <v>0.11199600168984998</v>
      </c>
      <c r="M31" s="13"/>
    </row>
    <row r="32" spans="1:16">
      <c r="A32" s="5">
        <v>2023</v>
      </c>
      <c r="B32" s="116">
        <f>SUMIF($A$2:$A$25,2023,C$2:C$25)</f>
        <v>268000</v>
      </c>
      <c r="C32" s="116">
        <f t="shared" ref="C32:F32" si="22">SUMIF($A$2:$A$25,2023,D$2:D$25)</f>
        <v>218800</v>
      </c>
      <c r="D32" s="6">
        <f t="shared" si="13"/>
        <v>229.49305301645339</v>
      </c>
      <c r="E32" s="6">
        <f t="shared" si="22"/>
        <v>50213080</v>
      </c>
      <c r="F32" s="6">
        <f t="shared" si="22"/>
        <v>45760000</v>
      </c>
      <c r="G32" s="6">
        <f t="shared" si="21"/>
        <v>4453080</v>
      </c>
      <c r="H32" s="19">
        <f t="shared" si="15"/>
        <v>0.81641791044776124</v>
      </c>
      <c r="I32" s="117" t="s">
        <v>17</v>
      </c>
      <c r="J32" s="6">
        <f t="shared" si="16"/>
        <v>209.14076782449726</v>
      </c>
      <c r="K32" s="19">
        <f t="shared" si="17"/>
        <v>0.91131633430970571</v>
      </c>
      <c r="L32" s="118">
        <f t="shared" si="19"/>
        <v>0.11201609283792618</v>
      </c>
      <c r="M32" s="13"/>
      <c r="N32" s="13"/>
      <c r="O32" s="21"/>
    </row>
    <row r="33" spans="1:14">
      <c r="A33" s="5">
        <v>2024</v>
      </c>
      <c r="B33" s="116">
        <f>SUMIF($A$2:$A$25,2024,C$2:C$25)</f>
        <v>284000</v>
      </c>
      <c r="C33" s="116">
        <f t="shared" ref="C33:F33" si="23">SUMIF($A$2:$A$25,2024,D$2:D$25)</f>
        <v>235320</v>
      </c>
      <c r="D33" s="6">
        <f t="shared" si="13"/>
        <v>235.90655702872684</v>
      </c>
      <c r="E33" s="6">
        <f t="shared" si="23"/>
        <v>55513531</v>
      </c>
      <c r="F33" s="6">
        <f t="shared" si="23"/>
        <v>50080000</v>
      </c>
      <c r="G33" s="6">
        <f t="shared" si="21"/>
        <v>5433531</v>
      </c>
      <c r="H33" s="19">
        <f>C33/B33</f>
        <v>0.82859154929577461</v>
      </c>
      <c r="I33" s="117" t="s">
        <v>17</v>
      </c>
      <c r="J33" s="6">
        <f t="shared" si="16"/>
        <v>212.81659017508073</v>
      </c>
      <c r="K33" s="19">
        <f t="shared" si="17"/>
        <v>0.90212240327497817</v>
      </c>
      <c r="L33" s="118">
        <f t="shared" si="19"/>
        <v>0.10555916904519699</v>
      </c>
      <c r="M33" s="13"/>
      <c r="N33" s="13"/>
    </row>
    <row r="34" spans="1:14">
      <c r="A34" s="12"/>
      <c r="H34" s="20"/>
      <c r="M34" s="13"/>
    </row>
    <row r="35" spans="1:14">
      <c r="E35" s="8"/>
      <c r="M35" s="13"/>
    </row>
    <row r="36" spans="1:14">
      <c r="A36" s="8"/>
    </row>
    <row r="38" spans="1:14">
      <c r="A38" s="12"/>
    </row>
    <row r="42" spans="1:14">
      <c r="A42" s="8"/>
    </row>
    <row r="44" spans="1:14">
      <c r="A44" s="11"/>
      <c r="B44" s="11"/>
      <c r="C44" s="11"/>
      <c r="D44" s="11"/>
      <c r="E44" s="11"/>
    </row>
    <row r="45" spans="1:14">
      <c r="A45" s="2"/>
      <c r="B45" s="3"/>
      <c r="C45" s="3"/>
      <c r="D45" s="14"/>
      <c r="E45" s="14"/>
    </row>
    <row r="46" spans="1:14">
      <c r="A46" s="2"/>
      <c r="B46" s="3"/>
      <c r="C46" s="3"/>
      <c r="D46" s="14"/>
      <c r="E46" s="14"/>
    </row>
    <row r="47" spans="1:14">
      <c r="A47" s="2"/>
      <c r="B47" s="3"/>
      <c r="C47" s="3"/>
      <c r="D47" s="14"/>
      <c r="E47" s="14"/>
    </row>
    <row r="48" spans="1:14">
      <c r="A48" s="2"/>
      <c r="B48" s="14"/>
      <c r="C48" s="3"/>
      <c r="D48" s="14"/>
      <c r="E48" s="14"/>
    </row>
    <row r="49" spans="1:5">
      <c r="A49" s="2"/>
      <c r="B49" s="3"/>
      <c r="C49" s="3"/>
      <c r="D49" s="14"/>
      <c r="E49" s="14"/>
    </row>
    <row r="50" spans="1:5">
      <c r="A50" s="2"/>
      <c r="B50" s="3"/>
      <c r="C50" s="3"/>
      <c r="D50" s="14"/>
      <c r="E50" s="14"/>
    </row>
    <row r="52" spans="1:5">
      <c r="A52" s="8"/>
    </row>
    <row r="53" spans="1:5">
      <c r="A53" s="15"/>
    </row>
    <row r="54" spans="1:5">
      <c r="A54" s="15"/>
    </row>
    <row r="55" spans="1:5">
      <c r="A55" s="15"/>
    </row>
    <row r="56" spans="1:5">
      <c r="A56" s="15"/>
    </row>
    <row r="63" spans="1:5">
      <c r="A63" s="15"/>
    </row>
    <row r="64" spans="1:5">
      <c r="A64" s="16"/>
    </row>
    <row r="65" spans="1:1">
      <c r="A65" s="16"/>
    </row>
    <row r="66" spans="1:1">
      <c r="A66" s="16"/>
    </row>
    <row r="67" spans="1:1">
      <c r="A67" s="16"/>
    </row>
    <row r="68" spans="1:1">
      <c r="A68" s="16"/>
    </row>
    <row r="69" spans="1:1">
      <c r="A69" s="16"/>
    </row>
  </sheetData>
  <sortState xmlns:xlrd2="http://schemas.microsoft.com/office/spreadsheetml/2017/richdata2" ref="A2:J13">
    <sortCondition ref="B1:B1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19943-A046-4B9C-8CB9-2DD18FEEC66B}">
  <sheetPr>
    <tabColor rgb="FFFFFF00"/>
  </sheetPr>
  <dimension ref="A1:K52"/>
  <sheetViews>
    <sheetView topLeftCell="A42" workbookViewId="0">
      <selection activeCell="F47" sqref="F47"/>
    </sheetView>
  </sheetViews>
  <sheetFormatPr defaultRowHeight="14.5"/>
  <cols>
    <col min="1" max="1" width="47.54296875" customWidth="1"/>
    <col min="2" max="2" width="10.1796875" style="1" customWidth="1"/>
    <col min="3" max="3" width="9.08984375" bestFit="1" customWidth="1"/>
    <col min="4" max="4" width="7.36328125" bestFit="1" customWidth="1"/>
    <col min="5" max="5" width="20.453125" customWidth="1"/>
    <col min="9" max="9" width="12.453125" bestFit="1" customWidth="1"/>
    <col min="10" max="11" width="11.1796875" bestFit="1" customWidth="1"/>
  </cols>
  <sheetData>
    <row r="1" spans="1:5" ht="15" thickBot="1">
      <c r="A1" s="145" t="s">
        <v>14</v>
      </c>
      <c r="B1" s="146"/>
      <c r="C1" s="147" t="s">
        <v>42</v>
      </c>
      <c r="D1" s="148"/>
      <c r="E1" s="149"/>
    </row>
    <row r="2" spans="1:5" ht="15" thickBot="1">
      <c r="A2" s="11"/>
      <c r="B2" s="11"/>
    </row>
    <row r="3" spans="1:5" ht="15" thickBot="1">
      <c r="A3" s="93" t="s">
        <v>22</v>
      </c>
      <c r="B3" s="2"/>
      <c r="C3" s="150"/>
      <c r="D3" s="150"/>
      <c r="E3" s="150"/>
    </row>
    <row r="4" spans="1:5">
      <c r="A4" s="2" t="s">
        <v>23</v>
      </c>
      <c r="B4" s="14">
        <f>AVERAGE(ACTUALS!I2:I7)</f>
        <v>0.77643336868151291</v>
      </c>
      <c r="C4" s="144" t="s">
        <v>46</v>
      </c>
      <c r="D4" s="144"/>
      <c r="E4" s="144"/>
    </row>
    <row r="5" spans="1:5">
      <c r="A5" s="2" t="s">
        <v>24</v>
      </c>
      <c r="B5" s="14">
        <f>AVERAGE(ACTUALS!I8:I13)</f>
        <v>0.80500000000000005</v>
      </c>
      <c r="C5" s="144"/>
      <c r="D5" s="144"/>
      <c r="E5" s="144"/>
    </row>
    <row r="6" spans="1:5">
      <c r="A6" s="2" t="s">
        <v>62</v>
      </c>
      <c r="B6" s="14">
        <f>AVERAGE(ACTUALS!I14:I19)</f>
        <v>0.79166666666666663</v>
      </c>
      <c r="C6" s="144"/>
      <c r="D6" s="144"/>
      <c r="E6" s="144"/>
    </row>
    <row r="7" spans="1:5">
      <c r="A7" s="2" t="s">
        <v>63</v>
      </c>
      <c r="B7" s="14">
        <f>AVERAGE(ACTUALS!I20:I25)</f>
        <v>0.78666666666666663</v>
      </c>
      <c r="C7" s="144"/>
      <c r="D7" s="144"/>
      <c r="E7" s="144"/>
    </row>
    <row r="8" spans="1:5">
      <c r="A8" s="2" t="s">
        <v>25</v>
      </c>
      <c r="B8" s="14">
        <f>AVERAGE(ACTUALS!J2:J7)</f>
        <v>0.90035631608849487</v>
      </c>
      <c r="C8" s="144" t="s">
        <v>47</v>
      </c>
      <c r="D8" s="144"/>
      <c r="E8" s="144"/>
    </row>
    <row r="9" spans="1:5">
      <c r="A9" s="2" t="s">
        <v>26</v>
      </c>
      <c r="B9" s="14">
        <f>AVERAGE(ACTUALS!J8:J13)</f>
        <v>0.90052880061762508</v>
      </c>
      <c r="C9" s="144"/>
      <c r="D9" s="144"/>
      <c r="E9" s="144"/>
    </row>
    <row r="10" spans="1:5">
      <c r="A10" s="2" t="s">
        <v>65</v>
      </c>
      <c r="B10" s="14">
        <f>AVERAGE(ACTUALS!J14:J19)</f>
        <v>0.90143911581954539</v>
      </c>
      <c r="C10" s="144"/>
      <c r="D10" s="144"/>
      <c r="E10" s="144"/>
    </row>
    <row r="11" spans="1:5">
      <c r="A11" s="2" t="s">
        <v>64</v>
      </c>
      <c r="B11" s="14">
        <f>AVERAGE(ACTUALS!J20:J25)</f>
        <v>0.89970871601145597</v>
      </c>
      <c r="C11" s="144"/>
      <c r="D11" s="144"/>
      <c r="E11" s="144"/>
    </row>
    <row r="12" spans="1:5">
      <c r="A12" s="2" t="s">
        <v>27</v>
      </c>
      <c r="B12" s="14">
        <f>AVERAGE(ACTUALS!M3:M7)</f>
        <v>7.9822152858039605E-2</v>
      </c>
      <c r="C12" s="144" t="s">
        <v>48</v>
      </c>
      <c r="D12" s="144"/>
      <c r="E12" s="144"/>
    </row>
    <row r="13" spans="1:5">
      <c r="A13" s="2" t="s">
        <v>28</v>
      </c>
      <c r="B13" s="14">
        <f>AVERAGE(ACTUALS!M9:M13)</f>
        <v>6.9562054832891768E-2</v>
      </c>
      <c r="C13" s="144"/>
      <c r="D13" s="144"/>
      <c r="E13" s="144"/>
    </row>
    <row r="14" spans="1:5">
      <c r="A14" s="2" t="s">
        <v>67</v>
      </c>
      <c r="B14" s="14">
        <f>AVERAGE(ACTUALS!M15:M19)</f>
        <v>0.10455789771136755</v>
      </c>
      <c r="C14" s="144"/>
      <c r="D14" s="144"/>
      <c r="E14" s="144"/>
    </row>
    <row r="15" spans="1:5">
      <c r="A15" s="2" t="s">
        <v>66</v>
      </c>
      <c r="B15" s="13">
        <f>AVERAGE(ACTUALS!M21:M25)</f>
        <v>0.10079154078446795</v>
      </c>
      <c r="C15" s="144"/>
      <c r="D15" s="144"/>
      <c r="E15" s="144"/>
    </row>
    <row r="16" spans="1:5" ht="15" thickBot="1">
      <c r="A16" s="2"/>
      <c r="B16"/>
    </row>
    <row r="17" spans="1:11" ht="15" thickBot="1">
      <c r="A17" s="93" t="s">
        <v>29</v>
      </c>
      <c r="B17" s="33" t="s">
        <v>50</v>
      </c>
      <c r="C17" s="10" t="s">
        <v>49</v>
      </c>
      <c r="D17" s="10" t="s">
        <v>51</v>
      </c>
    </row>
    <row r="18" spans="1:11" ht="14.5" customHeight="1">
      <c r="A18" s="2" t="s">
        <v>30</v>
      </c>
      <c r="B18" s="87">
        <f>C18-3</f>
        <v>222.21227786675823</v>
      </c>
      <c r="C18" s="90">
        <v>225.21227786675823</v>
      </c>
      <c r="D18" s="90">
        <f>C18+3</f>
        <v>228.21227786675823</v>
      </c>
      <c r="E18" s="2"/>
      <c r="F18" s="151" t="s">
        <v>57</v>
      </c>
      <c r="G18" s="151"/>
      <c r="H18" s="151"/>
    </row>
    <row r="19" spans="1:11">
      <c r="A19" s="2" t="s">
        <v>31</v>
      </c>
      <c r="B19" s="87">
        <f t="shared" ref="B19:B21" si="0">C19-3</f>
        <v>254.97042737465034</v>
      </c>
      <c r="C19" s="90">
        <v>257.97042737465034</v>
      </c>
      <c r="D19" s="90">
        <f t="shared" ref="D19:D21" si="1">C19+3</f>
        <v>260.97042737465034</v>
      </c>
      <c r="E19" s="2"/>
      <c r="F19" s="151"/>
      <c r="G19" s="151"/>
      <c r="H19" s="151"/>
    </row>
    <row r="20" spans="1:11" ht="14.5" customHeight="1">
      <c r="A20" s="2" t="s">
        <v>68</v>
      </c>
      <c r="B20" s="87">
        <f t="shared" si="0"/>
        <v>322.53411073467782</v>
      </c>
      <c r="C20" s="90">
        <v>325.53411073467782</v>
      </c>
      <c r="D20" s="90">
        <f t="shared" si="1"/>
        <v>328.53411073467782</v>
      </c>
      <c r="E20" s="2"/>
      <c r="F20" s="151"/>
      <c r="G20" s="151"/>
      <c r="H20" s="151"/>
    </row>
    <row r="21" spans="1:11">
      <c r="A21" s="2" t="s">
        <v>69</v>
      </c>
      <c r="B21" s="87">
        <f t="shared" si="0"/>
        <v>295.91811425951545</v>
      </c>
      <c r="C21" s="90">
        <v>298.91811425951545</v>
      </c>
      <c r="D21" s="90">
        <f t="shared" si="1"/>
        <v>301.91811425951545</v>
      </c>
      <c r="E21" s="2"/>
      <c r="F21" s="151"/>
      <c r="G21" s="151"/>
      <c r="H21" s="151"/>
    </row>
    <row r="22" spans="1:11" ht="63" customHeight="1">
      <c r="A22" s="2" t="s">
        <v>32</v>
      </c>
      <c r="B22" s="22">
        <v>2.3692172121628413E-2</v>
      </c>
      <c r="C22" s="88"/>
      <c r="D22" s="88"/>
      <c r="E22" s="88"/>
      <c r="F22" s="152" t="s">
        <v>70</v>
      </c>
      <c r="G22" s="152"/>
      <c r="H22" s="152"/>
    </row>
    <row r="23" spans="1:11" ht="15" thickBot="1">
      <c r="B23"/>
    </row>
    <row r="24" spans="1:11" ht="15" thickBot="1">
      <c r="A24" s="93" t="s">
        <v>33</v>
      </c>
      <c r="B24" s="33" t="s">
        <v>50</v>
      </c>
      <c r="C24" s="10" t="s">
        <v>49</v>
      </c>
      <c r="D24" s="10" t="s">
        <v>51</v>
      </c>
    </row>
    <row r="25" spans="1:11" ht="14.5" customHeight="1">
      <c r="A25" s="2" t="s">
        <v>12</v>
      </c>
      <c r="B25" s="26">
        <f>C25-3</f>
        <v>181.09756097560978</v>
      </c>
      <c r="C25" s="26">
        <v>184.09756097560978</v>
      </c>
      <c r="D25" s="26">
        <f>C25+3</f>
        <v>187.09756097560978</v>
      </c>
      <c r="E25" s="2"/>
      <c r="G25" s="153" t="s">
        <v>44</v>
      </c>
      <c r="H25" s="153"/>
      <c r="I25" s="153"/>
    </row>
    <row r="26" spans="1:11">
      <c r="A26" s="2" t="s">
        <v>13</v>
      </c>
      <c r="B26" s="26">
        <f t="shared" ref="B26:B28" si="2">C26-3</f>
        <v>207.07815043959624</v>
      </c>
      <c r="C26" s="26">
        <v>210.07815043959624</v>
      </c>
      <c r="D26" s="26">
        <f t="shared" ref="D26:D28" si="3">C26+3</f>
        <v>213.07815043959624</v>
      </c>
      <c r="E26" s="2"/>
      <c r="G26" s="153"/>
      <c r="H26" s="153"/>
      <c r="I26" s="153"/>
    </row>
    <row r="27" spans="1:11">
      <c r="A27" s="2" t="s">
        <v>60</v>
      </c>
      <c r="B27" s="26">
        <f t="shared" si="2"/>
        <v>257.0595238095238</v>
      </c>
      <c r="C27" s="26">
        <v>260.0595238095238</v>
      </c>
      <c r="D27" s="26">
        <f t="shared" si="3"/>
        <v>263.0595238095238</v>
      </c>
      <c r="E27" s="2"/>
      <c r="G27" s="153"/>
      <c r="H27" s="153"/>
      <c r="I27" s="153"/>
    </row>
    <row r="28" spans="1:11">
      <c r="A28" s="2" t="s">
        <v>61</v>
      </c>
      <c r="B28" s="26">
        <f t="shared" si="2"/>
        <v>237.37590361445783</v>
      </c>
      <c r="C28" s="26">
        <v>240.37590361445783</v>
      </c>
      <c r="D28" s="26">
        <f t="shared" si="3"/>
        <v>243.37590361445783</v>
      </c>
      <c r="E28" s="2"/>
      <c r="G28" s="153"/>
      <c r="H28" s="153"/>
      <c r="I28" s="153"/>
    </row>
    <row r="29" spans="1:11" ht="31" customHeight="1">
      <c r="A29" s="2" t="s">
        <v>32</v>
      </c>
      <c r="B29" s="3">
        <v>0.02</v>
      </c>
      <c r="C29" s="89"/>
      <c r="D29" s="88"/>
      <c r="E29" s="2"/>
      <c r="G29" s="152" t="s">
        <v>96</v>
      </c>
      <c r="H29" s="152"/>
      <c r="I29" s="152"/>
    </row>
    <row r="30" spans="1:11" ht="15" thickBot="1">
      <c r="B30"/>
      <c r="E30" s="2"/>
    </row>
    <row r="31" spans="1:11" ht="15" thickBot="1">
      <c r="A31" s="94" t="s">
        <v>34</v>
      </c>
      <c r="B31" s="33" t="s">
        <v>50</v>
      </c>
      <c r="C31" s="10" t="s">
        <v>49</v>
      </c>
      <c r="D31" s="10" t="s">
        <v>51</v>
      </c>
      <c r="I31" s="92" t="s">
        <v>80</v>
      </c>
      <c r="J31" s="114">
        <v>2025</v>
      </c>
      <c r="K31" s="123">
        <v>2026</v>
      </c>
    </row>
    <row r="32" spans="1:11" ht="80.5" customHeight="1">
      <c r="A32" s="2" t="s">
        <v>35</v>
      </c>
      <c r="B32" s="22">
        <v>0.82489483646867301</v>
      </c>
      <c r="C32" s="31">
        <v>0.82493945764137055</v>
      </c>
      <c r="D32" s="32">
        <v>0.81758930700176036</v>
      </c>
      <c r="E32" s="152" t="s">
        <v>53</v>
      </c>
      <c r="F32" s="152"/>
      <c r="G32" s="152"/>
      <c r="H32" s="24"/>
      <c r="I32" s="5" t="s">
        <v>7</v>
      </c>
      <c r="J32" s="127">
        <f>(ACTUALS!C7*(1+ASSUMPTIONS!B44))</f>
        <v>104694.24869288475</v>
      </c>
      <c r="K32" s="128">
        <f>(J32*(1+$B$44))</f>
        <v>109608.85709367601</v>
      </c>
    </row>
    <row r="33" spans="1:11" ht="88" customHeight="1">
      <c r="A33" s="2" t="s">
        <v>36</v>
      </c>
      <c r="B33" s="14">
        <v>0.81118370688384078</v>
      </c>
      <c r="C33" s="31">
        <v>0.82214531228361709</v>
      </c>
      <c r="D33" s="32">
        <v>0.8331069176833934</v>
      </c>
      <c r="E33" s="152" t="s">
        <v>54</v>
      </c>
      <c r="F33" s="152"/>
      <c r="G33" s="152"/>
      <c r="H33" s="24"/>
      <c r="I33" s="5" t="s">
        <v>8</v>
      </c>
      <c r="J33" s="127">
        <f>(ACTUALS!C13*(1+ASSUMPTIONS!B44))</f>
        <v>77473.744032734714</v>
      </c>
      <c r="K33" s="128">
        <f t="shared" ref="K33:K35" si="4">(J33*(1+$B$44))</f>
        <v>81110.554249320237</v>
      </c>
    </row>
    <row r="34" spans="1:11">
      <c r="A34" s="2" t="s">
        <v>11</v>
      </c>
      <c r="B34" s="3">
        <v>0.88</v>
      </c>
      <c r="C34" s="34">
        <v>0.9</v>
      </c>
      <c r="D34" s="29">
        <v>0.92</v>
      </c>
      <c r="I34" s="5" t="s">
        <v>58</v>
      </c>
      <c r="J34" s="127">
        <f>(ACTUALS!C19*(1+ASSUMPTIONS!B44))</f>
        <v>62816.549215730847</v>
      </c>
      <c r="K34" s="128">
        <f t="shared" si="4"/>
        <v>65765.314256205602</v>
      </c>
    </row>
    <row r="35" spans="1:11">
      <c r="A35" s="2" t="s">
        <v>37</v>
      </c>
      <c r="B35" s="22">
        <v>0.03</v>
      </c>
      <c r="C35" s="28">
        <v>0.04</v>
      </c>
      <c r="D35" s="28">
        <v>0.05</v>
      </c>
      <c r="I35" s="5" t="s">
        <v>59</v>
      </c>
      <c r="J35" s="127">
        <f>(ACTUALS!C25*(1+ASSUMPTIONS!B44))</f>
        <v>52347.124346442375</v>
      </c>
      <c r="K35" s="128">
        <f t="shared" si="4"/>
        <v>54804.428546838004</v>
      </c>
    </row>
    <row r="36" spans="1:11">
      <c r="A36" s="2" t="s">
        <v>38</v>
      </c>
      <c r="B36" s="14">
        <v>4.4633399536577287E-2</v>
      </c>
      <c r="C36" s="30">
        <v>4.6942486928847463E-2</v>
      </c>
      <c r="D36" s="13">
        <v>4.9251574321117639E-2</v>
      </c>
      <c r="E36" s="152" t="s">
        <v>55</v>
      </c>
      <c r="F36" s="152"/>
      <c r="G36" s="152"/>
      <c r="H36" s="24"/>
      <c r="I36" s="124" t="s">
        <v>2</v>
      </c>
      <c r="J36" s="125">
        <v>2025</v>
      </c>
      <c r="K36" s="126">
        <v>2026</v>
      </c>
    </row>
    <row r="37" spans="1:11" ht="15" thickBot="1">
      <c r="B37"/>
      <c r="E37" s="152"/>
      <c r="F37" s="152"/>
      <c r="G37" s="152"/>
      <c r="H37" s="24"/>
      <c r="I37" s="5" t="s">
        <v>7</v>
      </c>
      <c r="J37" s="128">
        <f>J32*$B$40</f>
        <v>86366.416734879109</v>
      </c>
      <c r="K37" s="128">
        <f>K32*$B$41</f>
        <v>90114.408044330616</v>
      </c>
    </row>
    <row r="38" spans="1:11" ht="61.5" customHeight="1" thickBot="1">
      <c r="A38" s="95" t="s">
        <v>39</v>
      </c>
      <c r="B38" s="2"/>
      <c r="E38" s="152"/>
      <c r="F38" s="152"/>
      <c r="G38" s="152"/>
      <c r="H38" s="24"/>
      <c r="I38" s="5" t="s">
        <v>8</v>
      </c>
      <c r="J38" s="128">
        <f t="shared" ref="J38:J40" si="5">J33*$B$40</f>
        <v>63911.148383810541</v>
      </c>
      <c r="K38" s="128">
        <f t="shared" ref="K38:K40" si="6">K33*$B$41</f>
        <v>66684.661952804658</v>
      </c>
    </row>
    <row r="39" spans="1:11">
      <c r="A39" s="119" t="s">
        <v>40</v>
      </c>
      <c r="B39" s="120" t="s">
        <v>98</v>
      </c>
      <c r="I39" s="5" t="s">
        <v>58</v>
      </c>
      <c r="J39" s="128">
        <f t="shared" si="5"/>
        <v>51819.850040927464</v>
      </c>
      <c r="K39" s="128">
        <f t="shared" si="6"/>
        <v>54068.644826598371</v>
      </c>
    </row>
    <row r="40" spans="1:11">
      <c r="A40" s="17" t="s">
        <v>35</v>
      </c>
      <c r="B40" s="121">
        <f>IF($B$39="Base",C32,IF($B$39="Bear",B32,D32))</f>
        <v>0.82493945764137055</v>
      </c>
      <c r="I40" s="5" t="s">
        <v>59</v>
      </c>
      <c r="J40" s="128">
        <f t="shared" si="5"/>
        <v>43183.208367439554</v>
      </c>
      <c r="K40" s="128">
        <f t="shared" si="6"/>
        <v>45057.204022165308</v>
      </c>
    </row>
    <row r="41" spans="1:11">
      <c r="A41" s="17" t="s">
        <v>36</v>
      </c>
      <c r="B41" s="121">
        <f t="shared" ref="B41:B44" si="7">IF($B$39="Base",C33,IF($B$39="Bear",B33,D33))</f>
        <v>0.82214531228361709</v>
      </c>
    </row>
    <row r="42" spans="1:11">
      <c r="A42" s="17" t="s">
        <v>11</v>
      </c>
      <c r="B42" s="121">
        <f t="shared" si="7"/>
        <v>0.9</v>
      </c>
    </row>
    <row r="43" spans="1:11">
      <c r="A43" s="17" t="s">
        <v>37</v>
      </c>
      <c r="B43" s="121">
        <f t="shared" si="7"/>
        <v>0.04</v>
      </c>
    </row>
    <row r="44" spans="1:11">
      <c r="A44" s="17" t="s">
        <v>38</v>
      </c>
      <c r="B44" s="121">
        <f t="shared" si="7"/>
        <v>4.6942486928847463E-2</v>
      </c>
    </row>
    <row r="45" spans="1:11">
      <c r="A45" s="17" t="s">
        <v>12</v>
      </c>
      <c r="B45" s="122">
        <f>IF($B$39="Base",C25,IF($B$39="Bear",B25,D25))</f>
        <v>184.09756097560978</v>
      </c>
    </row>
    <row r="46" spans="1:11">
      <c r="A46" s="17" t="s">
        <v>13</v>
      </c>
      <c r="B46" s="122">
        <f t="shared" ref="B46:B48" si="8">IF($B$39="Base",C26,IF($B$39="Bear",B26,D26))</f>
        <v>210.07815043959624</v>
      </c>
    </row>
    <row r="47" spans="1:11">
      <c r="A47" s="17" t="s">
        <v>60</v>
      </c>
      <c r="B47" s="122">
        <f t="shared" si="8"/>
        <v>260.0595238095238</v>
      </c>
    </row>
    <row r="48" spans="1:11">
      <c r="A48" s="17" t="s">
        <v>61</v>
      </c>
      <c r="B48" s="122">
        <f t="shared" si="8"/>
        <v>240.37590361445783</v>
      </c>
    </row>
    <row r="49" spans="1:2">
      <c r="A49" s="17" t="s">
        <v>30</v>
      </c>
      <c r="B49" s="122">
        <f>IF($B$39="Base",C18,IF($B$39="Bear",B18,D18))</f>
        <v>225.21227786675823</v>
      </c>
    </row>
    <row r="50" spans="1:2">
      <c r="A50" s="17" t="s">
        <v>31</v>
      </c>
      <c r="B50" s="122">
        <f t="shared" ref="B50:B52" si="9">IF($B$39="Base",C19,IF($B$39="Bear",B19,D19))</f>
        <v>257.97042737465034</v>
      </c>
    </row>
    <row r="51" spans="1:2">
      <c r="A51" s="17" t="s">
        <v>68</v>
      </c>
      <c r="B51" s="122">
        <f t="shared" si="9"/>
        <v>325.53411073467782</v>
      </c>
    </row>
    <row r="52" spans="1:2">
      <c r="A52" s="17" t="s">
        <v>69</v>
      </c>
      <c r="B52" s="122">
        <f t="shared" si="9"/>
        <v>298.91811425951545</v>
      </c>
    </row>
  </sheetData>
  <mergeCells count="13">
    <mergeCell ref="F18:H21"/>
    <mergeCell ref="F22:H22"/>
    <mergeCell ref="E32:G32"/>
    <mergeCell ref="E33:G33"/>
    <mergeCell ref="E36:G38"/>
    <mergeCell ref="G25:I28"/>
    <mergeCell ref="G29:I29"/>
    <mergeCell ref="C4:E7"/>
    <mergeCell ref="C8:E11"/>
    <mergeCell ref="C12:E15"/>
    <mergeCell ref="A1:B1"/>
    <mergeCell ref="C1:E1"/>
    <mergeCell ref="C3:E3"/>
  </mergeCells>
  <phoneticPr fontId="5" type="noConversion"/>
  <dataValidations count="1">
    <dataValidation type="list" allowBlank="1" showInputMessage="1" showErrorMessage="1" sqref="B39" xr:uid="{34C31B7D-D45A-46A9-ABBE-DF70AF397F7C}">
      <formula1>"Base,Bear,Bull"</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1F696-F1F6-4CA7-A9E3-28DCF1E4BE52}">
  <sheetPr>
    <tabColor rgb="FF92D050"/>
  </sheetPr>
  <dimension ref="A1:I8"/>
  <sheetViews>
    <sheetView workbookViewId="0">
      <selection activeCell="B8" sqref="B8:I8"/>
    </sheetView>
  </sheetViews>
  <sheetFormatPr defaultRowHeight="14.5"/>
  <cols>
    <col min="1" max="1" width="10.54296875" bestFit="1" customWidth="1"/>
    <col min="2" max="2" width="13.54296875" bestFit="1" customWidth="1"/>
    <col min="3" max="3" width="13.81640625" bestFit="1" customWidth="1"/>
    <col min="4" max="9" width="13.54296875" bestFit="1" customWidth="1"/>
  </cols>
  <sheetData>
    <row r="1" spans="1:9" ht="15" thickBot="1">
      <c r="A1" s="154" t="s">
        <v>15</v>
      </c>
      <c r="B1" s="155"/>
      <c r="C1" s="156"/>
    </row>
    <row r="2" spans="1:9">
      <c r="B2" s="8"/>
      <c r="C2" s="8"/>
    </row>
    <row r="3" spans="1:9">
      <c r="A3" s="10" t="s">
        <v>71</v>
      </c>
      <c r="B3" s="10" t="s">
        <v>73</v>
      </c>
      <c r="C3" s="10" t="s">
        <v>72</v>
      </c>
      <c r="D3" s="10" t="s">
        <v>74</v>
      </c>
      <c r="E3" s="10" t="s">
        <v>75</v>
      </c>
      <c r="F3" s="10" t="s">
        <v>76</v>
      </c>
      <c r="G3" s="10" t="s">
        <v>77</v>
      </c>
      <c r="H3" s="10" t="s">
        <v>78</v>
      </c>
      <c r="I3" s="10" t="s">
        <v>79</v>
      </c>
    </row>
    <row r="4" spans="1:9">
      <c r="A4" s="5" t="s">
        <v>7</v>
      </c>
      <c r="B4" s="72">
        <f>SUMIFS(ACTUALS!$F$2:$F$25,ACTUALS!$A$2:$A$25,2019,ACTUALS!$B$2:$B$25,"Audit")</f>
        <v>11219625</v>
      </c>
      <c r="C4" s="72">
        <f>SUMIFS(ACTUALS!$F$2:$F$25,ACTUALS!$A$2:$A$25,2020,ACTUALS!$B$2:$B$25,"Audit")</f>
        <v>10498302</v>
      </c>
      <c r="D4" s="72">
        <f>SUMIFS(ACTUALS!$F$2:$F$25,ACTUALS!$A$2:$A$25,2021,ACTUALS!$B$2:$B$25,"Audit")</f>
        <v>12322387</v>
      </c>
      <c r="E4" s="72">
        <f>SUMIFS(ACTUALS!$F$2:$F$25,ACTUALS!$A$2:$A$25,2022,ACTUALS!$B$2:$B$25,"Audit")</f>
        <v>13596595</v>
      </c>
      <c r="F4" s="72">
        <f>SUMIFS(ACTUALS!$F$2:$F$25,ACTUALS!$A$2:$A$25,2023,ACTUALS!$B$2:$B$25,"Audit")</f>
        <v>15043680</v>
      </c>
      <c r="G4" s="72">
        <f>SUMIFS(ACTUALS!$F$2:$F$25,ACTUALS!$A$2:$A$25,2024,ACTUALS!$B$2:$B$25,"Audit")</f>
        <v>16244400</v>
      </c>
      <c r="H4" s="6">
        <f>(ASSUMPTIONS!J37*ASSUMPTIONS!B49)*ASSUMPTIONS!$B$42</f>
        <v>17505699.699646648</v>
      </c>
      <c r="I4" s="6">
        <f>(ASSUMPTIONS!K37*(ASSUMPTIONS!B49*(1+ASSUMPTIONS!$B$22))*ASSUMPTIONS!$B$42)</f>
        <v>18698130.615300335</v>
      </c>
    </row>
    <row r="5" spans="1:9">
      <c r="A5" s="5" t="s">
        <v>8</v>
      </c>
      <c r="B5" s="72">
        <f>SUMIFS(ACTUALS!$F$2:$F$25,ACTUALS!$A$2:$A$25,2019,ACTUALS!$B$2:$B$25,"Tax")</f>
        <v>10066800</v>
      </c>
      <c r="C5" s="72">
        <f>SUMIFS(ACTUALS!$F$2:$F$25,ACTUALS!$A$2:$A$25,2020,ACTUALS!$B$2:$B$25,"Tax")</f>
        <v>9471744</v>
      </c>
      <c r="D5" s="72">
        <f>SUMIFS(ACTUALS!$F$2:$F$25,ACTUALS!$A$2:$A$25,2021,ACTUALS!$B$2:$B$25,"Tax")</f>
        <v>10692864</v>
      </c>
      <c r="E5" s="72">
        <f>SUMIFS(ACTUALS!$F$2:$F$25,ACTUALS!$A$2:$A$25,2022,ACTUALS!$B$2:$B$25,"Tax")</f>
        <v>11630527</v>
      </c>
      <c r="F5" s="72">
        <f>SUMIFS(ACTUALS!$F$2:$F$25,ACTUALS!$A$2:$A$25,2023,ACTUALS!$B$2:$B$25,"Tax")</f>
        <v>12657870</v>
      </c>
      <c r="G5" s="72">
        <f>SUMIFS(ACTUALS!$F$2:$F$25,ACTUALS!$A$2:$A$25,2024,ACTUALS!$B$2:$B$25,"Tax")</f>
        <v>13948675</v>
      </c>
      <c r="H5" s="6">
        <f>(ASSUMPTIONS!J38*ASSUMPTIONS!B50)*ASSUMPTIONS!$B$42</f>
        <v>14838467.636318669</v>
      </c>
      <c r="I5" s="6">
        <f>(ASSUMPTIONS!K38*(ASSUMPTIONS!B50*(1+ASSUMPTIONS!$B$22))*ASSUMPTIONS!$B$42)</f>
        <v>15849215.44155094</v>
      </c>
    </row>
    <row r="6" spans="1:9">
      <c r="A6" s="5" t="s">
        <v>58</v>
      </c>
      <c r="B6" s="72">
        <f>SUMIFS(ACTUALS!$F$2:$F$25,ACTUALS!$A$2:$A$25,2019,ACTUALS!$B$2:$B$25,"Consulting")</f>
        <v>8926898</v>
      </c>
      <c r="C6" s="72">
        <f>SUMIFS(ACTUALS!$F$2:$F$25,ACTUALS!$A$2:$A$25,2020,ACTUALS!$B$2:$B$25,"Consulting")</f>
        <v>8313228</v>
      </c>
      <c r="D6" s="72">
        <f>SUMIFS(ACTUALS!$F$2:$F$25,ACTUALS!$A$2:$A$25,2021,ACTUALS!$B$2:$B$25,"Consulting")</f>
        <v>9954144</v>
      </c>
      <c r="E6" s="72">
        <f>SUMIFS(ACTUALS!$F$2:$F$25,ACTUALS!$A$2:$A$25,2022,ACTUALS!$B$2:$B$25,"Consulting")</f>
        <v>11335168</v>
      </c>
      <c r="F6" s="72">
        <f>SUMIFS(ACTUALS!$F$2:$F$25,ACTUALS!$A$2:$A$25,2023,ACTUALS!$B$2:$B$25,"Consulting")</f>
        <v>12824038</v>
      </c>
      <c r="G6" s="72">
        <f>SUMIFS(ACTUALS!$F$2:$F$25,ACTUALS!$A$2:$A$25,2024,ACTUALS!$B$2:$B$25,"Consulting")</f>
        <v>14414976</v>
      </c>
      <c r="H6" s="6">
        <f>(ASSUMPTIONS!J39*ASSUMPTIONS!B51)*ASSUMPTIONS!$B$42</f>
        <v>15182215.921329914</v>
      </c>
      <c r="I6" s="6">
        <f>(ASSUMPTIONS!K39*(ASSUMPTIONS!B51*(1+ASSUMPTIONS!$B$22))*ASSUMPTIONS!$B$42)</f>
        <v>16216378.733633202</v>
      </c>
    </row>
    <row r="7" spans="1:9" ht="15" thickBot="1">
      <c r="A7" s="70" t="s">
        <v>59</v>
      </c>
      <c r="B7" s="72">
        <f>SUMIFS(ACTUALS!$F$2:$F$25,ACTUALS!$A$2:$A$25,2019,ACTUALS!$B$2:$B$25,"Advisory")</f>
        <v>6886208</v>
      </c>
      <c r="C7" s="72">
        <f>SUMIFS(ACTUALS!$F$2:$F$25,ACTUALS!$A$2:$A$25,2020,ACTUALS!$B$2:$B$25,"Advisory")</f>
        <v>6330758</v>
      </c>
      <c r="D7" s="72">
        <f>SUMIFS(ACTUALS!$F$2:$F$25,ACTUALS!$A$2:$A$25,2021,ACTUALS!$B$2:$B$25,"Advisory")</f>
        <v>7637760</v>
      </c>
      <c r="E7" s="72">
        <f>SUMIFS(ACTUALS!$F$2:$F$25,ACTUALS!$A$2:$A$25,2022,ACTUALS!$B$2:$B$25,"Advisory")</f>
        <v>8592704</v>
      </c>
      <c r="F7" s="72">
        <f>SUMIFS(ACTUALS!$F$2:$F$25,ACTUALS!$A$2:$A$25,2023,ACTUALS!$B$2:$B$25,"Advisory")</f>
        <v>9687492</v>
      </c>
      <c r="G7" s="72">
        <f>SUMIFS(ACTUALS!$F$2:$F$25,ACTUALS!$A$2:$A$25,2024,ACTUALS!$B$2:$B$25,"Advisory")</f>
        <v>10905480</v>
      </c>
      <c r="H7" s="6">
        <f>(ASSUMPTIONS!J40*ASSUMPTIONS!B52)*ASSUMPTIONS!$B$42</f>
        <v>11617418.891583685</v>
      </c>
      <c r="I7" s="6">
        <f>(ASSUMPTIONS!K40*(ASSUMPTIONS!B52*(1+ASSUMPTIONS!$B$22))*ASSUMPTIONS!$B$42)</f>
        <v>12408759.408335676</v>
      </c>
    </row>
    <row r="8" spans="1:9" ht="15" thickBot="1">
      <c r="A8" s="71" t="s">
        <v>16</v>
      </c>
      <c r="B8" s="73">
        <f>SUM(B4:B7)</f>
        <v>37099531</v>
      </c>
      <c r="C8" s="73">
        <f t="shared" ref="C8:I8" si="0">SUM(C4:C7)</f>
        <v>34614032</v>
      </c>
      <c r="D8" s="73">
        <f t="shared" si="0"/>
        <v>40607155</v>
      </c>
      <c r="E8" s="73">
        <f t="shared" si="0"/>
        <v>45154994</v>
      </c>
      <c r="F8" s="73">
        <f t="shared" si="0"/>
        <v>50213080</v>
      </c>
      <c r="G8" s="73">
        <f t="shared" si="0"/>
        <v>55513531</v>
      </c>
      <c r="H8" s="73">
        <f t="shared" si="0"/>
        <v>59143802.148878917</v>
      </c>
      <c r="I8" s="73">
        <f t="shared" si="0"/>
        <v>63172484.198820151</v>
      </c>
    </row>
  </sheetData>
  <mergeCells count="1">
    <mergeCell ref="A1:C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7C230-25EF-4277-A394-C5753EBC9E15}">
  <sheetPr>
    <tabColor rgb="FF00B0F0"/>
  </sheetPr>
  <dimension ref="A1:I25"/>
  <sheetViews>
    <sheetView workbookViewId="0">
      <selection activeCell="L10" sqref="L10"/>
    </sheetView>
  </sheetViews>
  <sheetFormatPr defaultRowHeight="14.5"/>
  <cols>
    <col min="1" max="1" width="24.1796875" bestFit="1" customWidth="1"/>
    <col min="2" max="3" width="14.1796875" bestFit="1" customWidth="1"/>
    <col min="4" max="9" width="13.54296875" bestFit="1" customWidth="1"/>
  </cols>
  <sheetData>
    <row r="1" spans="1:9" ht="15" thickBot="1">
      <c r="A1" s="141" t="s">
        <v>157</v>
      </c>
      <c r="B1" s="141" t="str">
        <f>ASSUMPTIONS!B39</f>
        <v>Base</v>
      </c>
    </row>
    <row r="2" spans="1:9" ht="15" thickBot="1">
      <c r="B2" s="27" t="s">
        <v>73</v>
      </c>
      <c r="C2" s="27" t="s">
        <v>72</v>
      </c>
      <c r="D2" s="27" t="s">
        <v>74</v>
      </c>
      <c r="E2" s="27" t="s">
        <v>81</v>
      </c>
      <c r="F2" s="27" t="s">
        <v>76</v>
      </c>
      <c r="G2" s="27" t="s">
        <v>77</v>
      </c>
      <c r="H2" s="27" t="s">
        <v>78</v>
      </c>
      <c r="I2" s="27" t="s">
        <v>79</v>
      </c>
    </row>
    <row r="3" spans="1:9">
      <c r="A3" s="92" t="s">
        <v>82</v>
      </c>
      <c r="B3" s="9"/>
      <c r="C3" s="9"/>
      <c r="D3" s="9"/>
      <c r="E3" s="4"/>
    </row>
    <row r="4" spans="1:9">
      <c r="A4" s="5" t="s">
        <v>83</v>
      </c>
      <c r="B4" s="4">
        <f>REVENUE!B4</f>
        <v>11219625</v>
      </c>
      <c r="C4" s="4">
        <f>REVENUE!C4</f>
        <v>10498302</v>
      </c>
      <c r="D4" s="4">
        <f>REVENUE!D4</f>
        <v>12322387</v>
      </c>
      <c r="E4" s="4">
        <f>REVENUE!E4</f>
        <v>13596595</v>
      </c>
      <c r="F4" s="4">
        <f>REVENUE!F4</f>
        <v>15043680</v>
      </c>
      <c r="G4" s="4">
        <f>REVENUE!G4</f>
        <v>16244400</v>
      </c>
      <c r="H4" s="4">
        <f>REVENUE!H4</f>
        <v>17505699.699646648</v>
      </c>
      <c r="I4" s="4">
        <f>REVENUE!I4</f>
        <v>18698130.615300335</v>
      </c>
    </row>
    <row r="5" spans="1:9">
      <c r="A5" s="5" t="s">
        <v>84</v>
      </c>
      <c r="B5" s="4">
        <f>REVENUE!B5</f>
        <v>10066800</v>
      </c>
      <c r="C5" s="4">
        <f>REVENUE!C5</f>
        <v>9471744</v>
      </c>
      <c r="D5" s="4">
        <f>REVENUE!D5</f>
        <v>10692864</v>
      </c>
      <c r="E5" s="4">
        <f>REVENUE!E5</f>
        <v>11630527</v>
      </c>
      <c r="F5" s="4">
        <f>REVENUE!F5</f>
        <v>12657870</v>
      </c>
      <c r="G5" s="4">
        <f>REVENUE!G5</f>
        <v>13948675</v>
      </c>
      <c r="H5" s="4">
        <f>REVENUE!H5</f>
        <v>14838467.636318669</v>
      </c>
      <c r="I5" s="4">
        <f>REVENUE!I5</f>
        <v>15849215.44155094</v>
      </c>
    </row>
    <row r="6" spans="1:9">
      <c r="A6" s="5" t="s">
        <v>85</v>
      </c>
      <c r="B6" s="4">
        <f>REVENUE!B6</f>
        <v>8926898</v>
      </c>
      <c r="C6" s="4">
        <f>REVENUE!C6</f>
        <v>8313228</v>
      </c>
      <c r="D6" s="4">
        <f>REVENUE!D6</f>
        <v>9954144</v>
      </c>
      <c r="E6" s="4">
        <f>REVENUE!E6</f>
        <v>11335168</v>
      </c>
      <c r="F6" s="4">
        <f>REVENUE!F6</f>
        <v>12824038</v>
      </c>
      <c r="G6" s="4">
        <f>REVENUE!G6</f>
        <v>14414976</v>
      </c>
      <c r="H6" s="4">
        <f>REVENUE!H6</f>
        <v>15182215.921329914</v>
      </c>
      <c r="I6" s="4">
        <f>REVENUE!I6</f>
        <v>16216378.733633202</v>
      </c>
    </row>
    <row r="7" spans="1:9" ht="15" thickBot="1">
      <c r="A7" s="5" t="s">
        <v>86</v>
      </c>
      <c r="B7" s="4">
        <f>REVENUE!B7</f>
        <v>6886208</v>
      </c>
      <c r="C7" s="4">
        <f>REVENUE!C7</f>
        <v>6330758</v>
      </c>
      <c r="D7" s="4">
        <f>REVENUE!D7</f>
        <v>7637760</v>
      </c>
      <c r="E7" s="4">
        <f>REVENUE!E7</f>
        <v>8592704</v>
      </c>
      <c r="F7" s="4">
        <f>REVENUE!F7</f>
        <v>9687492</v>
      </c>
      <c r="G7" s="4">
        <f>REVENUE!G7</f>
        <v>10905480</v>
      </c>
      <c r="H7" s="4">
        <f>REVENUE!H7</f>
        <v>11617418.891583685</v>
      </c>
      <c r="I7" s="4">
        <f>REVENUE!I7</f>
        <v>12408759.408335676</v>
      </c>
    </row>
    <row r="8" spans="1:9" ht="15" thickBot="1">
      <c r="A8" s="82" t="s">
        <v>87</v>
      </c>
      <c r="B8" s="79">
        <f>REVENUE!B8</f>
        <v>37099531</v>
      </c>
      <c r="C8" s="80">
        <f>REVENUE!C8</f>
        <v>34614032</v>
      </c>
      <c r="D8" s="80">
        <f>REVENUE!D8</f>
        <v>40607155</v>
      </c>
      <c r="E8" s="80">
        <f>REVENUE!E8</f>
        <v>45154994</v>
      </c>
      <c r="F8" s="80">
        <f>REVENUE!F8</f>
        <v>50213080</v>
      </c>
      <c r="G8" s="80">
        <f>REVENUE!G8</f>
        <v>55513531</v>
      </c>
      <c r="H8" s="80">
        <f>REVENUE!H8</f>
        <v>59143802.148878917</v>
      </c>
      <c r="I8" s="81">
        <f>REVENUE!I8</f>
        <v>63172484.198820151</v>
      </c>
    </row>
    <row r="9" spans="1:9" ht="15" thickBot="1"/>
    <row r="10" spans="1:9">
      <c r="A10" s="92" t="s">
        <v>88</v>
      </c>
    </row>
    <row r="11" spans="1:9">
      <c r="A11" s="5" t="s">
        <v>89</v>
      </c>
      <c r="B11" s="4">
        <f>ACTUALS!D2*ACTUALS!K2</f>
        <v>10455000</v>
      </c>
      <c r="C11" s="4">
        <f>ACTUALS!D3*ACTUALS!K3</f>
        <v>9880000</v>
      </c>
      <c r="D11" s="4">
        <f>ACTUALS!D4*ACTUALS!$K$4</f>
        <v>11450000</v>
      </c>
      <c r="E11" s="4">
        <f>ACTUALS!D5*ACTUALS!$K$5</f>
        <v>12480000</v>
      </c>
      <c r="F11" s="4">
        <f>ACTUALS!D6*ACTUALS!$K$6</f>
        <v>13750000</v>
      </c>
      <c r="G11" s="4">
        <f>ACTUALS!D7*ACTUALS!$K$7</f>
        <v>14800000</v>
      </c>
      <c r="H11" s="4">
        <f>ASSUMPTIONS!B45*ASSUMPTIONS!J37</f>
        <v>15899846.671094332</v>
      </c>
      <c r="I11" s="4">
        <f>((ASSUMPTIONS!B45*(1+ASSUMPTIONS!$B$29))*ASSUMPTIONS!K37)</f>
        <v>16921639.584316578</v>
      </c>
    </row>
    <row r="12" spans="1:9">
      <c r="A12" s="5" t="s">
        <v>90</v>
      </c>
      <c r="B12" s="4">
        <f>ACTUALS!D8*ACTUALS!K8</f>
        <v>9275000</v>
      </c>
      <c r="C12" s="4">
        <f>ACTUALS!D9*ACTUALS!K9</f>
        <v>8920000</v>
      </c>
      <c r="D12" s="4">
        <f>ACTUALS!D10*ACTUALS!$K$10</f>
        <v>9850000</v>
      </c>
      <c r="E12" s="4">
        <f>ACTUALS!D11*ACTUALS!$K$11</f>
        <v>10620000</v>
      </c>
      <c r="F12" s="4">
        <f>ACTUALS!D12*ACTUALS!$K$12</f>
        <v>11580000</v>
      </c>
      <c r="G12" s="4">
        <f>ACTUALS!D13*ACTUALS!$K$13</f>
        <v>12650000</v>
      </c>
      <c r="H12" s="4">
        <f>ASSUMPTIONS!B46*ASSUMPTIONS!J38</f>
        <v>13426335.84494151</v>
      </c>
      <c r="I12" s="4">
        <f>((ASSUMPTIONS!B46*(1+ASSUMPTIONS!$B$29))*ASSUMPTIONS!K38)</f>
        <v>14289170.254649615</v>
      </c>
    </row>
    <row r="13" spans="1:9">
      <c r="A13" s="5" t="s">
        <v>91</v>
      </c>
      <c r="B13" s="4">
        <f>ACTUALS!D14*ACTUALS!K14</f>
        <v>8250000</v>
      </c>
      <c r="C13" s="4">
        <f>ACTUALS!D15*ACTUALS!K15</f>
        <v>7780000</v>
      </c>
      <c r="D13" s="4">
        <f>ACTUALS!D16*ACTUALS!$K$16</f>
        <v>9120000</v>
      </c>
      <c r="E13" s="4">
        <f>ACTUALS!D17*ACTUALS!$K$17</f>
        <v>10280000</v>
      </c>
      <c r="F13" s="4">
        <f>ACTUALS!D18*ACTUALS!$K$18</f>
        <v>11580000</v>
      </c>
      <c r="G13" s="4">
        <f>ACTUALS!D19*ACTUALS!$K$19</f>
        <v>12850000</v>
      </c>
      <c r="H13" s="4">
        <f>ASSUMPTIONS!B47*ASSUMPTIONS!J39</f>
        <v>13476245.525524529</v>
      </c>
      <c r="I13" s="4">
        <f>((ASSUMPTIONS!B47*(1+ASSUMPTIONS!$B$29))*ASSUMPTIONS!K39)</f>
        <v>14342287.347164076</v>
      </c>
    </row>
    <row r="14" spans="1:9">
      <c r="A14" s="5" t="s">
        <v>92</v>
      </c>
      <c r="B14" s="4">
        <f>ACTUALS!D20*ACTUALS!K20</f>
        <v>6420000</v>
      </c>
      <c r="C14" s="4">
        <f>ACTUALS!D21*ACTUALS!K21</f>
        <v>5980000</v>
      </c>
      <c r="D14" s="4">
        <f>ACTUALS!D22*ACTUALS!$K$22</f>
        <v>7080000</v>
      </c>
      <c r="E14" s="4">
        <f>ACTUALS!D23*ACTUALS!$K$23</f>
        <v>7920000</v>
      </c>
      <c r="F14" s="4">
        <f>ACTUALS!D24*ACTUALS!$K$24</f>
        <v>8850000</v>
      </c>
      <c r="G14" s="4">
        <f>ACTUALS!D25*ACTUALS!$K$25</f>
        <v>9780000</v>
      </c>
      <c r="H14" s="4">
        <f>ASSUMPTIONS!B48*ASSUMPTIONS!J40</f>
        <v>10380202.732294699</v>
      </c>
      <c r="I14" s="4">
        <f>((ASSUMPTIONS!B48*(1+ASSUMPTIONS!$B$29))*ASSUMPTIONS!K40)</f>
        <v>11047279.453792349</v>
      </c>
    </row>
    <row r="15" spans="1:9" ht="15" thickBot="1">
      <c r="A15" s="103" t="s">
        <v>93</v>
      </c>
      <c r="B15" s="6">
        <f>SUM(B11:B14)</f>
        <v>34400000</v>
      </c>
      <c r="C15" s="6">
        <f t="shared" ref="C15:I15" si="0">SUM(C11:C14)</f>
        <v>32560000</v>
      </c>
      <c r="D15" s="6">
        <f t="shared" si="0"/>
        <v>37500000</v>
      </c>
      <c r="E15" s="6">
        <f t="shared" si="0"/>
        <v>41300000</v>
      </c>
      <c r="F15" s="6">
        <f t="shared" si="0"/>
        <v>45760000</v>
      </c>
      <c r="G15" s="6">
        <f t="shared" si="0"/>
        <v>50080000</v>
      </c>
      <c r="H15" s="6">
        <f>SUM(H11:H14)</f>
        <v>53182630.773855068</v>
      </c>
      <c r="I15" s="6">
        <f t="shared" si="0"/>
        <v>56600376.639922619</v>
      </c>
    </row>
    <row r="16" spans="1:9" ht="15" thickBot="1"/>
    <row r="17" spans="1:9" ht="15" thickBot="1">
      <c r="A17" s="92" t="s">
        <v>18</v>
      </c>
    </row>
    <row r="18" spans="1:9" ht="15" thickBot="1">
      <c r="A18" s="96" t="s">
        <v>19</v>
      </c>
      <c r="B18" s="6">
        <f t="shared" ref="B18:I18" si="1">B15</f>
        <v>34400000</v>
      </c>
      <c r="C18" s="6">
        <f t="shared" si="1"/>
        <v>32560000</v>
      </c>
      <c r="D18" s="6">
        <f t="shared" si="1"/>
        <v>37500000</v>
      </c>
      <c r="E18" s="6">
        <f t="shared" si="1"/>
        <v>41300000</v>
      </c>
      <c r="F18" s="6">
        <f t="shared" si="1"/>
        <v>45760000</v>
      </c>
      <c r="G18" s="6">
        <f t="shared" si="1"/>
        <v>50080000</v>
      </c>
      <c r="H18" s="6">
        <f t="shared" si="1"/>
        <v>53182630.773855068</v>
      </c>
      <c r="I18" s="6">
        <f t="shared" si="1"/>
        <v>56600376.639922619</v>
      </c>
    </row>
    <row r="19" spans="1:9" ht="15" thickBot="1"/>
    <row r="20" spans="1:9">
      <c r="A20" s="92" t="s">
        <v>94</v>
      </c>
    </row>
    <row r="21" spans="1:9">
      <c r="A21" s="113" t="s">
        <v>20</v>
      </c>
      <c r="B21" s="6">
        <f t="shared" ref="B21:I21" si="2">B8-B18</f>
        <v>2699531</v>
      </c>
      <c r="C21" s="6">
        <f t="shared" si="2"/>
        <v>2054032</v>
      </c>
      <c r="D21" s="6">
        <f t="shared" si="2"/>
        <v>3107155</v>
      </c>
      <c r="E21" s="6">
        <f t="shared" si="2"/>
        <v>3854994</v>
      </c>
      <c r="F21" s="6">
        <f t="shared" si="2"/>
        <v>4453080</v>
      </c>
      <c r="G21" s="6">
        <f t="shared" si="2"/>
        <v>5433531</v>
      </c>
      <c r="H21" s="6">
        <f t="shared" si="2"/>
        <v>5961171.3750238493</v>
      </c>
      <c r="I21" s="6">
        <f t="shared" si="2"/>
        <v>6572107.5588975325</v>
      </c>
    </row>
    <row r="22" spans="1:9">
      <c r="A22" s="113" t="s">
        <v>95</v>
      </c>
      <c r="B22" s="7">
        <f t="shared" ref="B22:I22" si="3">B21/B8</f>
        <v>7.2764558667871029E-2</v>
      </c>
      <c r="C22" s="7">
        <f t="shared" si="3"/>
        <v>5.9341021005585248E-2</v>
      </c>
      <c r="D22" s="7">
        <f t="shared" si="3"/>
        <v>7.6517426547119585E-2</v>
      </c>
      <c r="E22" s="7">
        <f t="shared" si="3"/>
        <v>8.537248393832142E-2</v>
      </c>
      <c r="F22" s="7">
        <f t="shared" si="3"/>
        <v>8.8683665690294247E-2</v>
      </c>
      <c r="G22" s="7">
        <f t="shared" si="3"/>
        <v>9.7877596725021873E-2</v>
      </c>
      <c r="H22" s="7">
        <f t="shared" si="3"/>
        <v>0.1007911422403682</v>
      </c>
      <c r="I22" s="7">
        <f t="shared" si="3"/>
        <v>0.10403433776980195</v>
      </c>
    </row>
    <row r="23" spans="1:9">
      <c r="B23" s="36"/>
      <c r="C23" s="36"/>
      <c r="D23" s="36"/>
      <c r="E23" s="36"/>
      <c r="F23" s="36"/>
      <c r="G23" s="36"/>
      <c r="H23" s="36"/>
      <c r="I23" s="36"/>
    </row>
    <row r="24" spans="1:9">
      <c r="A24" s="133" t="s">
        <v>107</v>
      </c>
      <c r="B24" s="135" t="s">
        <v>17</v>
      </c>
      <c r="C24" s="143">
        <f>(C8-B8)/B8</f>
        <v>-6.6995429133592008E-2</v>
      </c>
      <c r="D24" s="143">
        <f t="shared" ref="D24:I24" si="4">(D8-C8)/C8</f>
        <v>0.17314143004201302</v>
      </c>
      <c r="E24" s="143">
        <f t="shared" si="4"/>
        <v>0.11199600168984998</v>
      </c>
      <c r="F24" s="143">
        <f t="shared" si="4"/>
        <v>0.11201609283792618</v>
      </c>
      <c r="G24" s="143">
        <f t="shared" si="4"/>
        <v>0.10555916904519699</v>
      </c>
      <c r="H24" s="143">
        <f t="shared" si="4"/>
        <v>6.5394347710991702E-2</v>
      </c>
      <c r="I24" s="143">
        <f t="shared" si="4"/>
        <v>6.8116724044898061E-2</v>
      </c>
    </row>
    <row r="25" spans="1:9">
      <c r="A25" s="133" t="s">
        <v>143</v>
      </c>
      <c r="B25" s="135" t="s">
        <v>17</v>
      </c>
      <c r="C25" s="19">
        <f>((C21-B21)/B21)</f>
        <v>-0.23911523890631373</v>
      </c>
      <c r="D25" s="19">
        <f t="shared" ref="D25:I25" si="5">((D21-C21)/C21)</f>
        <v>0.51271012330869237</v>
      </c>
      <c r="E25" s="19">
        <f t="shared" si="5"/>
        <v>0.24068287549221071</v>
      </c>
      <c r="F25" s="19">
        <f t="shared" si="5"/>
        <v>0.15514576676383932</v>
      </c>
      <c r="G25" s="19">
        <f t="shared" si="5"/>
        <v>0.22017367754453099</v>
      </c>
      <c r="H25" s="19">
        <f t="shared" si="5"/>
        <v>9.7108192632718818E-2</v>
      </c>
      <c r="I25" s="19">
        <f t="shared" si="5"/>
        <v>0.10248592859339478</v>
      </c>
    </row>
  </sheetData>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910EA-DE3B-45B5-A617-3D2C89A9F472}">
  <sheetPr>
    <tabColor rgb="FF7030A0"/>
  </sheetPr>
  <dimension ref="A1:K27"/>
  <sheetViews>
    <sheetView workbookViewId="0">
      <selection activeCell="A2" sqref="A2"/>
    </sheetView>
  </sheetViews>
  <sheetFormatPr defaultRowHeight="14.5"/>
  <cols>
    <col min="1" max="1" width="20.36328125" customWidth="1"/>
    <col min="2" max="5" width="13.54296875" bestFit="1" customWidth="1"/>
    <col min="7" max="7" width="16.7265625" bestFit="1" customWidth="1"/>
    <col min="8" max="8" width="18" customWidth="1"/>
    <col min="9" max="11" width="13.54296875" bestFit="1" customWidth="1"/>
  </cols>
  <sheetData>
    <row r="1" spans="1:11">
      <c r="A1" s="157" t="s">
        <v>155</v>
      </c>
      <c r="B1" s="157"/>
    </row>
    <row r="2" spans="1:11">
      <c r="A2" s="91"/>
      <c r="B2" s="91"/>
    </row>
    <row r="3" spans="1:11" ht="15" thickBot="1">
      <c r="A3" s="67" t="s">
        <v>99</v>
      </c>
      <c r="B3" s="67">
        <v>2025</v>
      </c>
      <c r="G3" s="67" t="s">
        <v>99</v>
      </c>
      <c r="H3" s="67">
        <v>2026</v>
      </c>
    </row>
    <row r="4" spans="1:11" ht="15" thickBot="1">
      <c r="A4" s="23" t="s">
        <v>104</v>
      </c>
      <c r="B4" s="99" t="s">
        <v>7</v>
      </c>
      <c r="C4" s="5" t="s">
        <v>100</v>
      </c>
      <c r="D4" s="5" t="s">
        <v>101</v>
      </c>
      <c r="E4" s="5" t="s">
        <v>59</v>
      </c>
      <c r="G4" s="110" t="s">
        <v>104</v>
      </c>
      <c r="H4" s="99" t="s">
        <v>7</v>
      </c>
      <c r="I4" s="5" t="s">
        <v>100</v>
      </c>
      <c r="J4" s="5" t="s">
        <v>101</v>
      </c>
      <c r="K4" s="5" t="s">
        <v>59</v>
      </c>
    </row>
    <row r="5" spans="1:11">
      <c r="A5" s="101" t="s">
        <v>102</v>
      </c>
      <c r="B5" s="100">
        <v>17505699.699646648</v>
      </c>
      <c r="C5" s="100">
        <v>14838467.636318669</v>
      </c>
      <c r="D5" s="100">
        <v>15182215.921329914</v>
      </c>
      <c r="E5" s="100">
        <v>11617418.891583685</v>
      </c>
      <c r="G5" s="98" t="s">
        <v>102</v>
      </c>
      <c r="H5" s="100">
        <v>18698130.615300335</v>
      </c>
      <c r="I5" s="100">
        <v>15849215.44155094</v>
      </c>
      <c r="J5" s="100">
        <v>16216378.733633202</v>
      </c>
      <c r="K5" s="100">
        <v>12408759.408335676</v>
      </c>
    </row>
    <row r="6" spans="1:11">
      <c r="A6" s="102" t="s">
        <v>103</v>
      </c>
      <c r="B6" s="100">
        <v>15899846.671094332</v>
      </c>
      <c r="C6" s="100">
        <v>13426335.84494151</v>
      </c>
      <c r="D6" s="100">
        <v>13476245.525524529</v>
      </c>
      <c r="E6" s="100">
        <v>10380202.732294699</v>
      </c>
      <c r="G6" s="5" t="s">
        <v>103</v>
      </c>
      <c r="H6" s="100">
        <v>16921639.584316578</v>
      </c>
      <c r="I6" s="100">
        <v>14289170.254649615</v>
      </c>
      <c r="J6" s="100">
        <v>14342287.347164076</v>
      </c>
      <c r="K6" s="100">
        <v>11047279.453792349</v>
      </c>
    </row>
    <row r="7" spans="1:11">
      <c r="A7" s="102" t="s">
        <v>106</v>
      </c>
      <c r="B7" s="104">
        <f>B6/B5</f>
        <v>0.90826684702098881</v>
      </c>
      <c r="C7" s="104">
        <f t="shared" ref="C7:E7" si="0">C6/C5</f>
        <v>0.90483304435554912</v>
      </c>
      <c r="D7" s="104">
        <f t="shared" si="0"/>
        <v>0.88763363631203396</v>
      </c>
      <c r="E7" s="104">
        <f t="shared" si="0"/>
        <v>0.89350335295344352</v>
      </c>
      <c r="G7" s="5" t="s">
        <v>106</v>
      </c>
      <c r="H7" s="104">
        <f>H6/H5</f>
        <v>0.90499098185087623</v>
      </c>
      <c r="I7" s="104">
        <f t="shared" ref="I7:K7" si="1">I6/I5</f>
        <v>0.90156956395384413</v>
      </c>
      <c r="J7" s="104">
        <f t="shared" si="1"/>
        <v>0.88443218937763146</v>
      </c>
      <c r="K7" s="104">
        <f t="shared" si="1"/>
        <v>0.8902807355883825</v>
      </c>
    </row>
    <row r="8" spans="1:11" ht="15" thickBot="1">
      <c r="A8" s="132" t="s">
        <v>6</v>
      </c>
      <c r="B8" s="105">
        <f>B5-B6</f>
        <v>1605853.0285523161</v>
      </c>
      <c r="C8" s="105">
        <f t="shared" ref="C8:E8" si="2">C5-C6</f>
        <v>1412131.7913771588</v>
      </c>
      <c r="D8" s="105">
        <f t="shared" si="2"/>
        <v>1705970.395805385</v>
      </c>
      <c r="E8" s="105">
        <f t="shared" si="2"/>
        <v>1237216.1592889857</v>
      </c>
      <c r="G8" s="70" t="s">
        <v>6</v>
      </c>
      <c r="H8" s="105">
        <f>H5-H6</f>
        <v>1776491.0309837572</v>
      </c>
      <c r="I8" s="105">
        <f t="shared" ref="I8:K8" si="3">I5-I6</f>
        <v>1560045.1869013254</v>
      </c>
      <c r="J8" s="105">
        <f t="shared" si="3"/>
        <v>1874091.3864691257</v>
      </c>
      <c r="K8" s="105">
        <f t="shared" si="3"/>
        <v>1361479.9545433279</v>
      </c>
    </row>
    <row r="9" spans="1:11" ht="15" thickBot="1">
      <c r="A9" s="131" t="s">
        <v>105</v>
      </c>
      <c r="B9" s="108">
        <f>B8/B5</f>
        <v>9.173315297901119E-2</v>
      </c>
      <c r="C9" s="107">
        <f t="shared" ref="C9:E9" si="4">C8/C5</f>
        <v>9.5166955644450893E-2</v>
      </c>
      <c r="D9" s="107">
        <f t="shared" si="4"/>
        <v>0.112366363687966</v>
      </c>
      <c r="E9" s="107">
        <f t="shared" si="4"/>
        <v>0.10649664704655652</v>
      </c>
      <c r="G9" s="131" t="s">
        <v>105</v>
      </c>
      <c r="H9" s="108">
        <f>H8/H5</f>
        <v>9.5009018149123811E-2</v>
      </c>
      <c r="I9" s="108">
        <f t="shared" ref="I9:K9" si="5">I8/I5</f>
        <v>9.8430436046155839E-2</v>
      </c>
      <c r="J9" s="108">
        <f t="shared" si="5"/>
        <v>0.1155678106223685</v>
      </c>
      <c r="K9" s="108">
        <f t="shared" si="5"/>
        <v>0.10971926441161746</v>
      </c>
    </row>
    <row r="12" spans="1:11" ht="15" thickBot="1">
      <c r="A12" s="67" t="s">
        <v>97</v>
      </c>
      <c r="B12" s="67">
        <v>2025</v>
      </c>
      <c r="G12" s="67" t="str">
        <f>A12</f>
        <v>Bear</v>
      </c>
      <c r="H12" s="67">
        <v>2026</v>
      </c>
    </row>
    <row r="13" spans="1:11">
      <c r="A13" s="110" t="s">
        <v>104</v>
      </c>
      <c r="B13" s="99" t="s">
        <v>7</v>
      </c>
      <c r="C13" s="5" t="s">
        <v>100</v>
      </c>
      <c r="D13" s="5" t="s">
        <v>101</v>
      </c>
      <c r="E13" s="5" t="s">
        <v>59</v>
      </c>
      <c r="G13" s="110" t="s">
        <v>104</v>
      </c>
      <c r="H13" s="99" t="s">
        <v>7</v>
      </c>
      <c r="I13" s="5" t="s">
        <v>100</v>
      </c>
      <c r="J13" s="5" t="s">
        <v>101</v>
      </c>
      <c r="K13" s="5" t="s">
        <v>59</v>
      </c>
    </row>
    <row r="14" spans="1:11">
      <c r="A14" s="98" t="s">
        <v>102</v>
      </c>
      <c r="B14" s="100">
        <v>16850516.436986726</v>
      </c>
      <c r="C14" s="6">
        <v>14307596.906048125</v>
      </c>
      <c r="D14" s="6">
        <v>14674795.794179505</v>
      </c>
      <c r="E14" s="6">
        <v>11219841.442159159</v>
      </c>
      <c r="G14" s="98" t="s">
        <v>102</v>
      </c>
      <c r="H14" s="100">
        <v>17720139.610931221</v>
      </c>
      <c r="I14" s="6">
        <v>15045984.82902273</v>
      </c>
      <c r="J14" s="6">
        <v>15432134.154890534</v>
      </c>
      <c r="K14" s="6">
        <v>11798876.165668754</v>
      </c>
    </row>
    <row r="15" spans="1:11">
      <c r="A15" s="5" t="s">
        <v>103</v>
      </c>
      <c r="B15" s="100">
        <v>15605406.773920145</v>
      </c>
      <c r="C15" s="6">
        <v>13204698.495673025</v>
      </c>
      <c r="D15" s="6">
        <v>13290687.337411799</v>
      </c>
      <c r="E15" s="6">
        <v>10227491.508649796</v>
      </c>
      <c r="G15" s="5" t="s">
        <v>103</v>
      </c>
      <c r="H15" s="100">
        <v>16351583.123360135</v>
      </c>
      <c r="I15" s="6">
        <v>13836084.390427366</v>
      </c>
      <c r="J15" s="6">
        <v>13926184.809707869</v>
      </c>
      <c r="K15" s="6">
        <v>10716521.521671092</v>
      </c>
    </row>
    <row r="16" spans="1:11">
      <c r="A16" s="5" t="s">
        <v>106</v>
      </c>
      <c r="B16" s="129">
        <f>B15/B14</f>
        <v>0.92610851615600476</v>
      </c>
      <c r="C16" s="19">
        <f t="shared" ref="C16:E16" si="6">C15/C14</f>
        <v>0.92291518851017662</v>
      </c>
      <c r="D16" s="19">
        <f t="shared" si="6"/>
        <v>0.90568124584624965</v>
      </c>
      <c r="E16" s="19">
        <f t="shared" si="6"/>
        <v>0.91155401449965645</v>
      </c>
      <c r="G16" s="5" t="s">
        <v>106</v>
      </c>
      <c r="H16" s="129">
        <f>H15/H14</f>
        <v>0.92276830106198204</v>
      </c>
      <c r="I16" s="19">
        <f t="shared" ref="I16:K16" si="7">I15/I14</f>
        <v>0.91958649085824251</v>
      </c>
      <c r="J16" s="19">
        <f t="shared" si="7"/>
        <v>0.90241470621836062</v>
      </c>
      <c r="K16" s="19">
        <f t="shared" si="7"/>
        <v>0.90826629343335308</v>
      </c>
    </row>
    <row r="17" spans="1:11" ht="15" thickBot="1">
      <c r="A17" s="70" t="s">
        <v>6</v>
      </c>
      <c r="B17" s="105">
        <f>B14-B15</f>
        <v>1245109.6630665809</v>
      </c>
      <c r="C17" s="106">
        <f t="shared" ref="C17:E17" si="8">C14-C15</f>
        <v>1102898.4103750996</v>
      </c>
      <c r="D17" s="106">
        <f t="shared" si="8"/>
        <v>1384108.4567677062</v>
      </c>
      <c r="E17" s="106">
        <f t="shared" si="8"/>
        <v>992349.93350936286</v>
      </c>
      <c r="G17" s="70" t="s">
        <v>6</v>
      </c>
      <c r="H17" s="105">
        <f>H14-H15</f>
        <v>1368556.4875710867</v>
      </c>
      <c r="I17" s="106">
        <f t="shared" ref="I17:K17" si="9">I14-I15</f>
        <v>1209900.4385953639</v>
      </c>
      <c r="J17" s="106">
        <f t="shared" si="9"/>
        <v>1505949.3451826647</v>
      </c>
      <c r="K17" s="106">
        <f t="shared" si="9"/>
        <v>1082354.6439976618</v>
      </c>
    </row>
    <row r="18" spans="1:11" ht="15" thickBot="1">
      <c r="A18" s="131" t="s">
        <v>105</v>
      </c>
      <c r="B18" s="130">
        <f>B17/B14</f>
        <v>7.3891483843995243E-2</v>
      </c>
      <c r="C18" s="109">
        <f t="shared" ref="C18:E18" si="10">C17/C14</f>
        <v>7.7084811489823366E-2</v>
      </c>
      <c r="D18" s="109">
        <f t="shared" si="10"/>
        <v>9.4318754153750337E-2</v>
      </c>
      <c r="E18" s="109">
        <f t="shared" si="10"/>
        <v>8.8445985500343563E-2</v>
      </c>
      <c r="G18" s="131" t="s">
        <v>105</v>
      </c>
      <c r="H18" s="108">
        <v>7.7231698938017956E-2</v>
      </c>
      <c r="I18" s="111">
        <v>8.0413509141757489E-2</v>
      </c>
      <c r="J18" s="111">
        <v>9.7585293781639437E-2</v>
      </c>
      <c r="K18" s="112">
        <v>9.1733706566646936E-2</v>
      </c>
    </row>
    <row r="21" spans="1:11" ht="15" thickBot="1">
      <c r="A21" s="67" t="s">
        <v>56</v>
      </c>
      <c r="B21" s="67">
        <v>2025</v>
      </c>
      <c r="G21" s="67" t="str">
        <f>A21</f>
        <v>Bull</v>
      </c>
      <c r="H21" s="67">
        <v>2026</v>
      </c>
    </row>
    <row r="22" spans="1:11">
      <c r="A22" s="97" t="s">
        <v>104</v>
      </c>
      <c r="B22" s="5" t="s">
        <v>7</v>
      </c>
      <c r="C22" s="5" t="s">
        <v>100</v>
      </c>
      <c r="D22" s="5" t="s">
        <v>101</v>
      </c>
      <c r="E22" s="5" t="s">
        <v>59</v>
      </c>
      <c r="G22" s="110" t="s">
        <v>104</v>
      </c>
      <c r="H22" s="99" t="s">
        <v>7</v>
      </c>
      <c r="I22" s="5" t="s">
        <v>100</v>
      </c>
      <c r="J22" s="5" t="s">
        <v>101</v>
      </c>
      <c r="K22" s="5" t="s">
        <v>59</v>
      </c>
    </row>
    <row r="23" spans="1:11">
      <c r="A23" s="98" t="s">
        <v>102</v>
      </c>
      <c r="B23" s="100">
        <v>18011159.223468937</v>
      </c>
      <c r="C23" s="6">
        <v>15241428.609184438</v>
      </c>
      <c r="D23" s="6">
        <v>15557305.419573955</v>
      </c>
      <c r="E23" s="6">
        <v>11914116.276321769</v>
      </c>
      <c r="G23" s="98" t="s">
        <v>102</v>
      </c>
      <c r="H23" s="100">
        <v>19713158.564972185</v>
      </c>
      <c r="I23" s="6">
        <v>16681696.89700231</v>
      </c>
      <c r="J23" s="6">
        <v>17027423.097795226</v>
      </c>
      <c r="K23" s="6">
        <v>13039963.747064814</v>
      </c>
    </row>
    <row r="24" spans="1:11">
      <c r="A24" s="5" t="s">
        <v>103</v>
      </c>
      <c r="B24" s="100">
        <v>16050292.757911429</v>
      </c>
      <c r="C24" s="6">
        <v>13526501.04580239</v>
      </c>
      <c r="D24" s="6">
        <v>13540045.143987859</v>
      </c>
      <c r="E24" s="6">
        <v>10439084.515223866</v>
      </c>
      <c r="G24" s="5" t="s">
        <v>103</v>
      </c>
      <c r="H24" s="100">
        <v>17503636.973221868</v>
      </c>
      <c r="I24" s="6">
        <v>14751317.461603744</v>
      </c>
      <c r="J24" s="6">
        <v>14766087.969615275</v>
      </c>
      <c r="K24" s="6">
        <v>11384337.248128634</v>
      </c>
    </row>
    <row r="25" spans="1:11">
      <c r="A25" s="5" t="s">
        <v>106</v>
      </c>
      <c r="B25" s="129">
        <f>B24/B23</f>
        <v>0.89113046854849542</v>
      </c>
      <c r="C25" s="19">
        <f>C24/C23</f>
        <v>0.88748249213668606</v>
      </c>
      <c r="D25" s="19">
        <f>D24/D23</f>
        <v>0.87033356862377909</v>
      </c>
      <c r="E25" s="19">
        <f>E24/E23</f>
        <v>0.87619461428042333</v>
      </c>
      <c r="G25" s="5" t="s">
        <v>106</v>
      </c>
      <c r="H25" s="129">
        <f>H24/H23</f>
        <v>0.88791640951560347</v>
      </c>
      <c r="I25" s="19">
        <f t="shared" ref="I25:K25" si="11">I24/I23</f>
        <v>0.88428159033716447</v>
      </c>
      <c r="J25" s="19">
        <f t="shared" si="11"/>
        <v>0.86719451820793969</v>
      </c>
      <c r="K25" s="19">
        <f t="shared" si="11"/>
        <v>0.87303442470774906</v>
      </c>
    </row>
    <row r="26" spans="1:11" ht="15" thickBot="1">
      <c r="A26" s="70" t="s">
        <v>6</v>
      </c>
      <c r="B26" s="105">
        <f>B23-B24</f>
        <v>1960866.4655575082</v>
      </c>
      <c r="C26" s="106">
        <f t="shared" ref="C26:E26" si="12">C23-C24</f>
        <v>1714927.5633820482</v>
      </c>
      <c r="D26" s="106">
        <f t="shared" si="12"/>
        <v>2017260.2755860966</v>
      </c>
      <c r="E26" s="106">
        <f t="shared" si="12"/>
        <v>1475031.7610979024</v>
      </c>
      <c r="G26" s="70" t="s">
        <v>6</v>
      </c>
      <c r="H26" s="105">
        <f>H23-H24</f>
        <v>2209521.5917503163</v>
      </c>
      <c r="I26" s="106">
        <f t="shared" ref="I26:K26" si="13">I23-I24</f>
        <v>1930379.4353985656</v>
      </c>
      <c r="J26" s="106">
        <f t="shared" si="13"/>
        <v>2261335.1281799506</v>
      </c>
      <c r="K26" s="106">
        <f t="shared" si="13"/>
        <v>1655626.49893618</v>
      </c>
    </row>
    <row r="27" spans="1:11" ht="15" thickBot="1">
      <c r="A27" s="131" t="s">
        <v>105</v>
      </c>
      <c r="B27" s="130">
        <f>B26/B23</f>
        <v>0.10886953145150458</v>
      </c>
      <c r="C27" s="109">
        <f t="shared" ref="C27:E27" si="14">C26/C23</f>
        <v>0.11251750786331395</v>
      </c>
      <c r="D27" s="109">
        <f t="shared" si="14"/>
        <v>0.12966643137622094</v>
      </c>
      <c r="E27" s="109">
        <f t="shared" si="14"/>
        <v>0.12380538571957661</v>
      </c>
      <c r="G27" s="131" t="s">
        <v>105</v>
      </c>
      <c r="H27" s="130">
        <f>H26/H23</f>
        <v>0.11208359048439653</v>
      </c>
      <c r="I27" s="109">
        <f t="shared" ref="I27:K27" si="15">I26/I23</f>
        <v>0.11571840966283553</v>
      </c>
      <c r="J27" s="109">
        <f t="shared" si="15"/>
        <v>0.13280548179206028</v>
      </c>
      <c r="K27" s="109">
        <f t="shared" si="15"/>
        <v>0.12696557529225092</v>
      </c>
    </row>
  </sheetData>
  <mergeCells count="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7D107-2FE0-46F7-A3DD-9E561151BAF8}">
  <sheetPr>
    <tabColor theme="5" tint="0.59999389629810485"/>
  </sheetPr>
  <dimension ref="A1:I28"/>
  <sheetViews>
    <sheetView zoomScaleNormal="100" workbookViewId="0">
      <selection activeCell="I16" sqref="I16"/>
    </sheetView>
  </sheetViews>
  <sheetFormatPr defaultRowHeight="14.5"/>
  <cols>
    <col min="1" max="1" width="21.90625" bestFit="1" customWidth="1"/>
    <col min="2" max="2" width="13.54296875" bestFit="1" customWidth="1"/>
    <col min="3" max="3" width="13.7265625" bestFit="1" customWidth="1"/>
    <col min="4" max="9" width="13.54296875" bestFit="1" customWidth="1"/>
  </cols>
  <sheetData>
    <row r="1" spans="1:9" ht="15" thickBot="1">
      <c r="A1" s="142" t="s">
        <v>157</v>
      </c>
      <c r="B1" s="141" t="str">
        <f>ASSUMPTIONS!B39</f>
        <v>Base</v>
      </c>
    </row>
    <row r="2" spans="1:9" ht="15" thickBot="1">
      <c r="A2" s="140" t="s">
        <v>108</v>
      </c>
    </row>
    <row r="3" spans="1:9">
      <c r="A3" s="134" t="s">
        <v>109</v>
      </c>
      <c r="B3" s="10" t="s">
        <v>135</v>
      </c>
      <c r="C3" s="10" t="s">
        <v>136</v>
      </c>
      <c r="D3" s="10" t="s">
        <v>137</v>
      </c>
      <c r="E3" s="10" t="s">
        <v>138</v>
      </c>
      <c r="F3" s="10" t="s">
        <v>139</v>
      </c>
      <c r="G3" s="10" t="s">
        <v>140</v>
      </c>
      <c r="H3" s="10" t="s">
        <v>141</v>
      </c>
      <c r="I3" s="10" t="s">
        <v>142</v>
      </c>
    </row>
    <row r="4" spans="1:9">
      <c r="A4" s="5" t="s">
        <v>110</v>
      </c>
      <c r="B4" s="135" t="s">
        <v>17</v>
      </c>
      <c r="C4" s="136">
        <f>'P&amp;L'!C24</f>
        <v>-6.6995429133592008E-2</v>
      </c>
      <c r="D4" s="136">
        <f>'P&amp;L'!D24</f>
        <v>0.17314143004201302</v>
      </c>
      <c r="E4" s="136">
        <f>'P&amp;L'!E24</f>
        <v>0.11199600168984998</v>
      </c>
      <c r="F4" s="136">
        <f>'P&amp;L'!F24</f>
        <v>0.11201609283792618</v>
      </c>
      <c r="G4" s="136">
        <f>'P&amp;L'!G24</f>
        <v>0.10555916904519699</v>
      </c>
      <c r="H4" s="136">
        <f>'P&amp;L'!H24</f>
        <v>6.5394347710991702E-2</v>
      </c>
      <c r="I4" s="136">
        <f>'P&amp;L'!I24</f>
        <v>6.8116724044898061E-2</v>
      </c>
    </row>
    <row r="5" spans="1:9">
      <c r="A5" s="5" t="s">
        <v>111</v>
      </c>
      <c r="B5" s="6">
        <f>'P&amp;L'!B15</f>
        <v>34400000</v>
      </c>
      <c r="C5" s="6">
        <f>'P&amp;L'!C15</f>
        <v>32560000</v>
      </c>
      <c r="D5" s="6">
        <f>'P&amp;L'!D15</f>
        <v>37500000</v>
      </c>
      <c r="E5" s="6">
        <f>'P&amp;L'!E15</f>
        <v>41300000</v>
      </c>
      <c r="F5" s="6">
        <f>'P&amp;L'!F15</f>
        <v>45760000</v>
      </c>
      <c r="G5" s="6">
        <f>'P&amp;L'!G15</f>
        <v>50080000</v>
      </c>
      <c r="H5" s="6">
        <f>'P&amp;L'!H15</f>
        <v>53182630.773855068</v>
      </c>
      <c r="I5" s="6">
        <f>'P&amp;L'!I15</f>
        <v>56600376.639922619</v>
      </c>
    </row>
    <row r="6" spans="1:9">
      <c r="A6" s="5" t="s">
        <v>20</v>
      </c>
      <c r="B6" s="6">
        <f>'P&amp;L'!B21</f>
        <v>2699531</v>
      </c>
      <c r="C6" s="6">
        <f>'P&amp;L'!C21</f>
        <v>2054032</v>
      </c>
      <c r="D6" s="6">
        <f>'P&amp;L'!D21</f>
        <v>3107155</v>
      </c>
      <c r="E6" s="6">
        <f>'P&amp;L'!E21</f>
        <v>3854994</v>
      </c>
      <c r="F6" s="6">
        <f>'P&amp;L'!F21</f>
        <v>4453080</v>
      </c>
      <c r="G6" s="6">
        <f>'P&amp;L'!G21</f>
        <v>5433531</v>
      </c>
      <c r="H6" s="6">
        <f>'P&amp;L'!H21</f>
        <v>5961171.3750238493</v>
      </c>
      <c r="I6" s="6">
        <f>'P&amp;L'!I21</f>
        <v>6572107.5588975325</v>
      </c>
    </row>
    <row r="7" spans="1:9">
      <c r="A7" s="5" t="s">
        <v>112</v>
      </c>
      <c r="B7" s="136">
        <f>'P&amp;L'!B22</f>
        <v>7.2764558667871029E-2</v>
      </c>
      <c r="C7" s="136">
        <f>'P&amp;L'!C22</f>
        <v>5.9341021005585248E-2</v>
      </c>
      <c r="D7" s="136">
        <f>'P&amp;L'!D22</f>
        <v>7.6517426547119585E-2</v>
      </c>
      <c r="E7" s="136">
        <f>'P&amp;L'!E22</f>
        <v>8.537248393832142E-2</v>
      </c>
      <c r="F7" s="136">
        <f>'P&amp;L'!F22</f>
        <v>8.8683665690294247E-2</v>
      </c>
      <c r="G7" s="136">
        <f>'P&amp;L'!G22</f>
        <v>9.7877596725021873E-2</v>
      </c>
      <c r="H7" s="136">
        <f>'P&amp;L'!H22</f>
        <v>0.1007911422403682</v>
      </c>
      <c r="I7" s="136">
        <f>'P&amp;L'!I22</f>
        <v>0.10403433776980195</v>
      </c>
    </row>
    <row r="8" spans="1:9" ht="15" thickBot="1"/>
    <row r="9" spans="1:9">
      <c r="A9" s="92" t="s">
        <v>113</v>
      </c>
    </row>
    <row r="10" spans="1:9">
      <c r="A10" s="5" t="s">
        <v>71</v>
      </c>
      <c r="B10" s="10" t="s">
        <v>132</v>
      </c>
      <c r="C10" s="10" t="s">
        <v>114</v>
      </c>
      <c r="D10" s="138" t="s">
        <v>133</v>
      </c>
      <c r="E10" s="137" t="s">
        <v>131</v>
      </c>
      <c r="F10" s="138" t="s">
        <v>134</v>
      </c>
    </row>
    <row r="11" spans="1:9">
      <c r="A11" s="5" t="s">
        <v>7</v>
      </c>
      <c r="B11" s="6">
        <f>REVENUE!G4</f>
        <v>16244400</v>
      </c>
      <c r="C11" s="6">
        <f>REVENUE!H4</f>
        <v>17505699.699646648</v>
      </c>
      <c r="D11" s="118">
        <f>((C11-B11)/B11)</f>
        <v>7.7645200785910709E-2</v>
      </c>
      <c r="E11" s="6">
        <f>REVENUE!I4</f>
        <v>18698130.615300335</v>
      </c>
      <c r="F11" s="19">
        <f>((E11-C11)/C11)</f>
        <v>6.8116724044898144E-2</v>
      </c>
    </row>
    <row r="12" spans="1:9">
      <c r="A12" s="5" t="s">
        <v>8</v>
      </c>
      <c r="B12" s="6">
        <f>REVENUE!G5</f>
        <v>13948675</v>
      </c>
      <c r="C12" s="6">
        <f>REVENUE!H5</f>
        <v>14838467.636318669</v>
      </c>
      <c r="D12" s="118">
        <f t="shared" ref="D12:D14" si="0">((C12-B12)/B12)</f>
        <v>6.3790477326245598E-2</v>
      </c>
      <c r="E12" s="6">
        <f>REVENUE!I5</f>
        <v>15849215.44155094</v>
      </c>
      <c r="F12" s="19">
        <f t="shared" ref="F12:F14" si="1">((E12-C12)/C12)</f>
        <v>6.81167240448982E-2</v>
      </c>
    </row>
    <row r="13" spans="1:9">
      <c r="A13" s="5" t="s">
        <v>58</v>
      </c>
      <c r="B13" s="6">
        <f>REVENUE!G6</f>
        <v>14414976</v>
      </c>
      <c r="C13" s="6">
        <f>REVENUE!H6</f>
        <v>15182215.921329914</v>
      </c>
      <c r="D13" s="118">
        <f t="shared" si="0"/>
        <v>5.3225195888630943E-2</v>
      </c>
      <c r="E13" s="6">
        <f>REVENUE!I6</f>
        <v>16216378.733633202</v>
      </c>
      <c r="F13" s="19">
        <f t="shared" si="1"/>
        <v>6.8116724044898089E-2</v>
      </c>
    </row>
    <row r="14" spans="1:9">
      <c r="A14" s="5" t="s">
        <v>59</v>
      </c>
      <c r="B14" s="6">
        <f>REVENUE!G7</f>
        <v>10905480</v>
      </c>
      <c r="C14" s="6">
        <f>REVENUE!H7</f>
        <v>11617418.891583685</v>
      </c>
      <c r="D14" s="118">
        <f t="shared" si="0"/>
        <v>6.5282673626808244E-2</v>
      </c>
      <c r="E14" s="6">
        <f>REVENUE!I7</f>
        <v>12408759.408335676</v>
      </c>
      <c r="F14" s="19">
        <f t="shared" si="1"/>
        <v>6.8116724044898075E-2</v>
      </c>
    </row>
    <row r="15" spans="1:9" ht="15" thickBot="1"/>
    <row r="16" spans="1:9">
      <c r="A16" s="92" t="s">
        <v>115</v>
      </c>
    </row>
    <row r="17" spans="1:4">
      <c r="A17" s="5" t="s">
        <v>124</v>
      </c>
      <c r="B17" s="10" t="s">
        <v>125</v>
      </c>
      <c r="C17" s="10" t="s">
        <v>126</v>
      </c>
      <c r="D17" s="10" t="s">
        <v>127</v>
      </c>
    </row>
    <row r="18" spans="1:4">
      <c r="A18" s="5" t="s">
        <v>116</v>
      </c>
      <c r="B18" s="19">
        <f>(SUM(ACTUALS!D7,ACTUALS!D13,ACTUALS!D19,ACTUALS!D25))/(SUM(ACTUALS!C7,ACTUALS!C13,ACTUALS!C19,ACTUALS!C25))</f>
        <v>0.82859154929577461</v>
      </c>
      <c r="C18" s="19">
        <f>(SUM(ASSUMPTIONS!J37:J40))/(SUM(ASSUMPTIONS!J32:J35))</f>
        <v>0.82493945764137033</v>
      </c>
      <c r="D18" s="19">
        <f>(SUM(ASSUMPTIONS!K37:K40))/(SUM(ASSUMPTIONS!K32:K35))</f>
        <v>0.82214531228361698</v>
      </c>
    </row>
    <row r="19" spans="1:4">
      <c r="A19" s="5" t="s">
        <v>117</v>
      </c>
      <c r="B19" s="19">
        <f>((SUM(ACTUALS!F7,ACTUALS!F13,ACTUALS!F19,ACTUALS!F25))/((SUM((ACTUALS!E7*ACTUALS!D7),(ACTUALS!D13*ACTUALS!E13),(ACTUALS!D19*ACTUALS!E19),(ACTUALS!D25*ACTUALS!E25)))))</f>
        <v>0.90027236736949723</v>
      </c>
      <c r="C19" s="117" t="s">
        <v>17</v>
      </c>
      <c r="D19" s="117" t="s">
        <v>17</v>
      </c>
    </row>
    <row r="20" spans="1:4">
      <c r="A20" s="5" t="s">
        <v>118</v>
      </c>
      <c r="B20" s="139">
        <f>ACTUALS!E33/ACTUALS!C33</f>
        <v>235.90655702872684</v>
      </c>
      <c r="C20" s="6">
        <f>REVENUE!H8/(SUM(ASSUMPTIONS!J37:J40))</f>
        <v>241.12708659334774</v>
      </c>
      <c r="D20" s="6">
        <f>REVENUE!I8/(SUM(ASSUMPTIONS!K37:K40))</f>
        <v>246.83991103210408</v>
      </c>
    </row>
    <row r="21" spans="1:4">
      <c r="A21" s="5" t="s">
        <v>119</v>
      </c>
      <c r="B21" s="139">
        <f>ACTUALS!G33/ACTUALS!C33</f>
        <v>23.0899668536461</v>
      </c>
      <c r="C21" s="6">
        <f>'P&amp;L'!H21/(SUM(ASSUMPTIONS!J37:J40))</f>
        <v>24.303474482835693</v>
      </c>
      <c r="D21" s="6">
        <f>'P&amp;L'!I21/(SUM(ASSUMPTIONS!K37:K40))</f>
        <v>25.67982667938178</v>
      </c>
    </row>
    <row r="22" spans="1:4" ht="15" thickBot="1"/>
    <row r="23" spans="1:4">
      <c r="A23" s="92" t="s">
        <v>120</v>
      </c>
    </row>
    <row r="24" spans="1:4">
      <c r="A24" s="5"/>
      <c r="B24" s="10" t="s">
        <v>128</v>
      </c>
      <c r="C24" s="10" t="s">
        <v>130</v>
      </c>
      <c r="D24" s="10" t="s">
        <v>129</v>
      </c>
    </row>
    <row r="25" spans="1:4">
      <c r="A25" s="5" t="s">
        <v>121</v>
      </c>
      <c r="B25" s="6">
        <f>SUM(SCENARIO!B14:E14)</f>
        <v>57052750.579373516</v>
      </c>
      <c r="C25" s="6">
        <f>SUM(SCENARIO!B5:E5)</f>
        <v>59143802.148878917</v>
      </c>
      <c r="D25" s="6">
        <f>SUM(SCENARIO!B23:E23)</f>
        <v>60724009.528549097</v>
      </c>
    </row>
    <row r="26" spans="1:4">
      <c r="A26" s="5" t="s">
        <v>122</v>
      </c>
      <c r="B26" s="6">
        <f>SUM(SCENARIO!B15:E15)</f>
        <v>52328284.115654767</v>
      </c>
      <c r="C26" s="6">
        <f>SUM(SCENARIO!B6:E6)</f>
        <v>53182630.773855068</v>
      </c>
      <c r="D26" s="6">
        <f>SUM(SCENARIO!B24:E24)</f>
        <v>53555923.462925546</v>
      </c>
    </row>
    <row r="27" spans="1:4">
      <c r="A27" s="5" t="s">
        <v>123</v>
      </c>
      <c r="B27" s="6">
        <f>B25-B26</f>
        <v>4724466.4637187496</v>
      </c>
      <c r="C27" s="6">
        <f t="shared" ref="C27:D27" si="2">C25-C26</f>
        <v>5961171.3750238493</v>
      </c>
      <c r="D27" s="6">
        <f t="shared" si="2"/>
        <v>7168086.0656235516</v>
      </c>
    </row>
    <row r="28" spans="1:4">
      <c r="A28" s="5" t="s">
        <v>95</v>
      </c>
      <c r="B28" s="7">
        <f>B27/B25</f>
        <v>8.280874130942957E-2</v>
      </c>
      <c r="C28" s="7">
        <f t="shared" ref="C28:D28" si="3">C27/C25</f>
        <v>0.1007911422403682</v>
      </c>
      <c r="D28" s="7">
        <f t="shared" si="3"/>
        <v>0.11804368850600208</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86567-D7C8-4FA0-B2D6-06234A5E09F6}">
  <sheetPr>
    <tabColor theme="8" tint="0.39997558519241921"/>
  </sheetPr>
  <dimension ref="A1"/>
  <sheetViews>
    <sheetView workbookViewId="0">
      <selection activeCell="Q7" sqref="Q7"/>
    </sheetView>
  </sheetViews>
  <sheetFormatPr defaultRowHeight="14.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5EE12-D4C9-41C2-9815-A2CF71E21C4A}">
  <sheetPr>
    <tabColor rgb="FFFF0000"/>
  </sheetPr>
  <dimension ref="A1:H102"/>
  <sheetViews>
    <sheetView topLeftCell="A7" workbookViewId="0">
      <selection activeCell="J12" sqref="J12"/>
    </sheetView>
  </sheetViews>
  <sheetFormatPr defaultRowHeight="14.5"/>
  <cols>
    <col min="1" max="1" width="47.6328125" bestFit="1" customWidth="1"/>
  </cols>
  <sheetData>
    <row r="1" spans="1:8">
      <c r="A1" s="133" t="s">
        <v>144</v>
      </c>
    </row>
    <row r="2" spans="1:8" ht="14.5" customHeight="1">
      <c r="B2" s="158" t="s">
        <v>145</v>
      </c>
      <c r="C2" s="158"/>
      <c r="D2" s="158"/>
      <c r="E2" s="158"/>
      <c r="F2" s="158"/>
      <c r="G2" s="158"/>
      <c r="H2" s="158"/>
    </row>
    <row r="3" spans="1:8">
      <c r="B3" s="158"/>
      <c r="C3" s="158"/>
      <c r="D3" s="158"/>
      <c r="E3" s="158"/>
      <c r="F3" s="158"/>
      <c r="G3" s="158"/>
      <c r="H3" s="158"/>
    </row>
    <row r="4" spans="1:8">
      <c r="B4" s="158"/>
      <c r="C4" s="158"/>
      <c r="D4" s="158"/>
      <c r="E4" s="158"/>
      <c r="F4" s="158"/>
      <c r="G4" s="158"/>
      <c r="H4" s="158"/>
    </row>
    <row r="5" spans="1:8">
      <c r="B5" s="158"/>
      <c r="C5" s="158"/>
      <c r="D5" s="158"/>
      <c r="E5" s="158"/>
      <c r="F5" s="158"/>
      <c r="G5" s="158"/>
      <c r="H5" s="158"/>
    </row>
    <row r="6" spans="1:8">
      <c r="B6" s="158"/>
      <c r="C6" s="158"/>
      <c r="D6" s="158"/>
      <c r="E6" s="158"/>
      <c r="F6" s="158"/>
      <c r="G6" s="158"/>
      <c r="H6" s="158"/>
    </row>
    <row r="7" spans="1:8">
      <c r="B7" s="158"/>
      <c r="C7" s="158"/>
      <c r="D7" s="158"/>
      <c r="E7" s="158"/>
      <c r="F7" s="158"/>
      <c r="G7" s="158"/>
      <c r="H7" s="158"/>
    </row>
    <row r="8" spans="1:8">
      <c r="B8" s="158"/>
      <c r="C8" s="158"/>
      <c r="D8" s="158"/>
      <c r="E8" s="158"/>
      <c r="F8" s="158"/>
      <c r="G8" s="158"/>
      <c r="H8" s="158"/>
    </row>
    <row r="9" spans="1:8">
      <c r="B9" s="158"/>
      <c r="C9" s="158"/>
      <c r="D9" s="158"/>
      <c r="E9" s="158"/>
      <c r="F9" s="158"/>
      <c r="G9" s="158"/>
      <c r="H9" s="158"/>
    </row>
    <row r="10" spans="1:8">
      <c r="B10" s="158"/>
      <c r="C10" s="158"/>
      <c r="D10" s="158"/>
      <c r="E10" s="158"/>
      <c r="F10" s="158"/>
      <c r="G10" s="158"/>
      <c r="H10" s="158"/>
    </row>
    <row r="11" spans="1:8">
      <c r="B11" s="158"/>
      <c r="C11" s="158"/>
      <c r="D11" s="158"/>
      <c r="E11" s="158"/>
      <c r="F11" s="158"/>
      <c r="G11" s="158"/>
      <c r="H11" s="158"/>
    </row>
    <row r="12" spans="1:8">
      <c r="B12" s="158"/>
      <c r="C12" s="158"/>
      <c r="D12" s="158"/>
      <c r="E12" s="158"/>
      <c r="F12" s="158"/>
      <c r="G12" s="158"/>
      <c r="H12" s="158"/>
    </row>
    <row r="14" spans="1:8">
      <c r="A14" s="133" t="s">
        <v>146</v>
      </c>
    </row>
    <row r="15" spans="1:8">
      <c r="B15" s="152" t="s">
        <v>147</v>
      </c>
      <c r="C15" s="152"/>
      <c r="D15" s="152"/>
      <c r="E15" s="152"/>
      <c r="F15" s="152"/>
      <c r="G15" s="152"/>
      <c r="H15" s="152"/>
    </row>
    <row r="16" spans="1:8">
      <c r="B16" s="152"/>
      <c r="C16" s="152"/>
      <c r="D16" s="152"/>
      <c r="E16" s="152"/>
      <c r="F16" s="152"/>
      <c r="G16" s="152"/>
      <c r="H16" s="152"/>
    </row>
    <row r="17" spans="1:8">
      <c r="B17" s="152"/>
      <c r="C17" s="152"/>
      <c r="D17" s="152"/>
      <c r="E17" s="152"/>
      <c r="F17" s="152"/>
      <c r="G17" s="152"/>
      <c r="H17" s="152"/>
    </row>
    <row r="18" spans="1:8">
      <c r="B18" s="152"/>
      <c r="C18" s="152"/>
      <c r="D18" s="152"/>
      <c r="E18" s="152"/>
      <c r="F18" s="152"/>
      <c r="G18" s="152"/>
      <c r="H18" s="152"/>
    </row>
    <row r="19" spans="1:8">
      <c r="B19" s="152"/>
      <c r="C19" s="152"/>
      <c r="D19" s="152"/>
      <c r="E19" s="152"/>
      <c r="F19" s="152"/>
      <c r="G19" s="152"/>
      <c r="H19" s="152"/>
    </row>
    <row r="20" spans="1:8">
      <c r="B20" s="152"/>
      <c r="C20" s="152"/>
      <c r="D20" s="152"/>
      <c r="E20" s="152"/>
      <c r="F20" s="152"/>
      <c r="G20" s="152"/>
      <c r="H20" s="152"/>
    </row>
    <row r="21" spans="1:8">
      <c r="B21" s="152"/>
      <c r="C21" s="152"/>
      <c r="D21" s="152"/>
      <c r="E21" s="152"/>
      <c r="F21" s="152"/>
      <c r="G21" s="152"/>
      <c r="H21" s="152"/>
    </row>
    <row r="22" spans="1:8">
      <c r="B22" s="152"/>
      <c r="C22" s="152"/>
      <c r="D22" s="152"/>
      <c r="E22" s="152"/>
      <c r="F22" s="152"/>
      <c r="G22" s="152"/>
      <c r="H22" s="152"/>
    </row>
    <row r="23" spans="1:8">
      <c r="B23" s="152"/>
      <c r="C23" s="152"/>
      <c r="D23" s="152"/>
      <c r="E23" s="152"/>
      <c r="F23" s="152"/>
      <c r="G23" s="152"/>
      <c r="H23" s="152"/>
    </row>
    <row r="24" spans="1:8">
      <c r="B24" s="152"/>
      <c r="C24" s="152"/>
      <c r="D24" s="152"/>
      <c r="E24" s="152"/>
      <c r="F24" s="152"/>
      <c r="G24" s="152"/>
      <c r="H24" s="152"/>
    </row>
    <row r="25" spans="1:8">
      <c r="B25" s="152"/>
      <c r="C25" s="152"/>
      <c r="D25" s="152"/>
      <c r="E25" s="152"/>
      <c r="F25" s="152"/>
      <c r="G25" s="152"/>
      <c r="H25" s="152"/>
    </row>
    <row r="27" spans="1:8">
      <c r="A27" s="133" t="s">
        <v>148</v>
      </c>
    </row>
    <row r="28" spans="1:8">
      <c r="B28" s="152" t="s">
        <v>149</v>
      </c>
      <c r="C28" s="152"/>
      <c r="D28" s="152"/>
      <c r="E28" s="152"/>
      <c r="F28" s="152"/>
      <c r="G28" s="152"/>
      <c r="H28" s="152"/>
    </row>
    <row r="29" spans="1:8">
      <c r="B29" s="152"/>
      <c r="C29" s="152"/>
      <c r="D29" s="152"/>
      <c r="E29" s="152"/>
      <c r="F29" s="152"/>
      <c r="G29" s="152"/>
      <c r="H29" s="152"/>
    </row>
    <row r="30" spans="1:8">
      <c r="B30" s="152"/>
      <c r="C30" s="152"/>
      <c r="D30" s="152"/>
      <c r="E30" s="152"/>
      <c r="F30" s="152"/>
      <c r="G30" s="152"/>
      <c r="H30" s="152"/>
    </row>
    <row r="31" spans="1:8">
      <c r="B31" s="152"/>
      <c r="C31" s="152"/>
      <c r="D31" s="152"/>
      <c r="E31" s="152"/>
      <c r="F31" s="152"/>
      <c r="G31" s="152"/>
      <c r="H31" s="152"/>
    </row>
    <row r="32" spans="1:8">
      <c r="B32" s="152"/>
      <c r="C32" s="152"/>
      <c r="D32" s="152"/>
      <c r="E32" s="152"/>
      <c r="F32" s="152"/>
      <c r="G32" s="152"/>
      <c r="H32" s="152"/>
    </row>
    <row r="33" spans="1:8">
      <c r="B33" s="152"/>
      <c r="C33" s="152"/>
      <c r="D33" s="152"/>
      <c r="E33" s="152"/>
      <c r="F33" s="152"/>
      <c r="G33" s="152"/>
      <c r="H33" s="152"/>
    </row>
    <row r="34" spans="1:8">
      <c r="B34" s="152"/>
      <c r="C34" s="152"/>
      <c r="D34" s="152"/>
      <c r="E34" s="152"/>
      <c r="F34" s="152"/>
      <c r="G34" s="152"/>
      <c r="H34" s="152"/>
    </row>
    <row r="35" spans="1:8">
      <c r="B35" s="152"/>
      <c r="C35" s="152"/>
      <c r="D35" s="152"/>
      <c r="E35" s="152"/>
      <c r="F35" s="152"/>
      <c r="G35" s="152"/>
      <c r="H35" s="152"/>
    </row>
    <row r="36" spans="1:8">
      <c r="B36" s="152"/>
      <c r="C36" s="152"/>
      <c r="D36" s="152"/>
      <c r="E36" s="152"/>
      <c r="F36" s="152"/>
      <c r="G36" s="152"/>
      <c r="H36" s="152"/>
    </row>
    <row r="37" spans="1:8">
      <c r="B37" s="152"/>
      <c r="C37" s="152"/>
      <c r="D37" s="152"/>
      <c r="E37" s="152"/>
      <c r="F37" s="152"/>
      <c r="G37" s="152"/>
      <c r="H37" s="152"/>
    </row>
    <row r="38" spans="1:8">
      <c r="B38" s="152"/>
      <c r="C38" s="152"/>
      <c r="D38" s="152"/>
      <c r="E38" s="152"/>
      <c r="F38" s="152"/>
      <c r="G38" s="152"/>
      <c r="H38" s="152"/>
    </row>
    <row r="40" spans="1:8">
      <c r="A40" s="133" t="s">
        <v>150</v>
      </c>
    </row>
    <row r="41" spans="1:8">
      <c r="B41" s="158" t="s">
        <v>153</v>
      </c>
      <c r="C41" s="158"/>
      <c r="D41" s="158"/>
      <c r="E41" s="158"/>
      <c r="F41" s="158"/>
      <c r="G41" s="158"/>
      <c r="H41" s="158"/>
    </row>
    <row r="42" spans="1:8">
      <c r="B42" s="158"/>
      <c r="C42" s="158"/>
      <c r="D42" s="158"/>
      <c r="E42" s="158"/>
      <c r="F42" s="158"/>
      <c r="G42" s="158"/>
      <c r="H42" s="158"/>
    </row>
    <row r="43" spans="1:8">
      <c r="B43" s="158"/>
      <c r="C43" s="158"/>
      <c r="D43" s="158"/>
      <c r="E43" s="158"/>
      <c r="F43" s="158"/>
      <c r="G43" s="158"/>
      <c r="H43" s="158"/>
    </row>
    <row r="44" spans="1:8">
      <c r="B44" s="158"/>
      <c r="C44" s="158"/>
      <c r="D44" s="158"/>
      <c r="E44" s="158"/>
      <c r="F44" s="158"/>
      <c r="G44" s="158"/>
      <c r="H44" s="158"/>
    </row>
    <row r="45" spans="1:8">
      <c r="B45" s="158"/>
      <c r="C45" s="158"/>
      <c r="D45" s="158"/>
      <c r="E45" s="158"/>
      <c r="F45" s="158"/>
      <c r="G45" s="158"/>
      <c r="H45" s="158"/>
    </row>
    <row r="46" spans="1:8">
      <c r="B46" s="158"/>
      <c r="C46" s="158"/>
      <c r="D46" s="158"/>
      <c r="E46" s="158"/>
      <c r="F46" s="158"/>
      <c r="G46" s="158"/>
      <c r="H46" s="158"/>
    </row>
    <row r="47" spans="1:8">
      <c r="B47" s="158"/>
      <c r="C47" s="158"/>
      <c r="D47" s="158"/>
      <c r="E47" s="158"/>
      <c r="F47" s="158"/>
      <c r="G47" s="158"/>
      <c r="H47" s="158"/>
    </row>
    <row r="48" spans="1:8">
      <c r="B48" s="158"/>
      <c r="C48" s="158"/>
      <c r="D48" s="158"/>
      <c r="E48" s="158"/>
      <c r="F48" s="158"/>
      <c r="G48" s="158"/>
      <c r="H48" s="158"/>
    </row>
    <row r="49" spans="1:8">
      <c r="B49" s="158"/>
      <c r="C49" s="158"/>
      <c r="D49" s="158"/>
      <c r="E49" s="158"/>
      <c r="F49" s="158"/>
      <c r="G49" s="158"/>
      <c r="H49" s="158"/>
    </row>
    <row r="50" spans="1:8">
      <c r="B50" s="158"/>
      <c r="C50" s="158"/>
      <c r="D50" s="158"/>
      <c r="E50" s="158"/>
      <c r="F50" s="158"/>
      <c r="G50" s="158"/>
      <c r="H50" s="158"/>
    </row>
    <row r="51" spans="1:8">
      <c r="B51" s="158"/>
      <c r="C51" s="158"/>
      <c r="D51" s="158"/>
      <c r="E51" s="158"/>
      <c r="F51" s="158"/>
      <c r="G51" s="158"/>
      <c r="H51" s="158"/>
    </row>
    <row r="53" spans="1:8">
      <c r="A53" s="133" t="s">
        <v>151</v>
      </c>
    </row>
    <row r="54" spans="1:8" ht="14.5" customHeight="1">
      <c r="B54" s="158" t="s">
        <v>154</v>
      </c>
      <c r="C54" s="158"/>
      <c r="D54" s="158"/>
      <c r="E54" s="158"/>
      <c r="F54" s="158"/>
      <c r="G54" s="158"/>
      <c r="H54" s="158"/>
    </row>
    <row r="55" spans="1:8">
      <c r="B55" s="158"/>
      <c r="C55" s="158"/>
      <c r="D55" s="158"/>
      <c r="E55" s="158"/>
      <c r="F55" s="158"/>
      <c r="G55" s="158"/>
      <c r="H55" s="158"/>
    </row>
    <row r="56" spans="1:8">
      <c r="B56" s="158"/>
      <c r="C56" s="158"/>
      <c r="D56" s="158"/>
      <c r="E56" s="158"/>
      <c r="F56" s="158"/>
      <c r="G56" s="158"/>
      <c r="H56" s="158"/>
    </row>
    <row r="57" spans="1:8">
      <c r="B57" s="158"/>
      <c r="C57" s="158"/>
      <c r="D57" s="158"/>
      <c r="E57" s="158"/>
      <c r="F57" s="158"/>
      <c r="G57" s="158"/>
      <c r="H57" s="158"/>
    </row>
    <row r="58" spans="1:8">
      <c r="B58" s="158"/>
      <c r="C58" s="158"/>
      <c r="D58" s="158"/>
      <c r="E58" s="158"/>
      <c r="F58" s="158"/>
      <c r="G58" s="158"/>
      <c r="H58" s="158"/>
    </row>
    <row r="59" spans="1:8">
      <c r="B59" s="158"/>
      <c r="C59" s="158"/>
      <c r="D59" s="158"/>
      <c r="E59" s="158"/>
      <c r="F59" s="158"/>
      <c r="G59" s="158"/>
      <c r="H59" s="158"/>
    </row>
    <row r="60" spans="1:8">
      <c r="B60" s="158"/>
      <c r="C60" s="158"/>
      <c r="D60" s="158"/>
      <c r="E60" s="158"/>
      <c r="F60" s="158"/>
      <c r="G60" s="158"/>
      <c r="H60" s="158"/>
    </row>
    <row r="61" spans="1:8">
      <c r="B61" s="158"/>
      <c r="C61" s="158"/>
      <c r="D61" s="158"/>
      <c r="E61" s="158"/>
      <c r="F61" s="158"/>
      <c r="G61" s="158"/>
      <c r="H61" s="158"/>
    </row>
    <row r="62" spans="1:8">
      <c r="B62" s="158"/>
      <c r="C62" s="158"/>
      <c r="D62" s="158"/>
      <c r="E62" s="158"/>
      <c r="F62" s="158"/>
      <c r="G62" s="158"/>
      <c r="H62" s="158"/>
    </row>
    <row r="63" spans="1:8">
      <c r="B63" s="158"/>
      <c r="C63" s="158"/>
      <c r="D63" s="158"/>
      <c r="E63" s="158"/>
      <c r="F63" s="158"/>
      <c r="G63" s="158"/>
      <c r="H63" s="158"/>
    </row>
    <row r="64" spans="1:8">
      <c r="B64" s="158"/>
      <c r="C64" s="158"/>
      <c r="D64" s="158"/>
      <c r="E64" s="158"/>
      <c r="F64" s="158"/>
      <c r="G64" s="158"/>
      <c r="H64" s="158"/>
    </row>
    <row r="65" spans="1:8">
      <c r="B65" s="158"/>
      <c r="C65" s="158"/>
      <c r="D65" s="158"/>
      <c r="E65" s="158"/>
      <c r="F65" s="158"/>
      <c r="G65" s="158"/>
      <c r="H65" s="158"/>
    </row>
    <row r="66" spans="1:8">
      <c r="B66" s="158"/>
      <c r="C66" s="158"/>
      <c r="D66" s="158"/>
      <c r="E66" s="158"/>
      <c r="F66" s="158"/>
      <c r="G66" s="158"/>
      <c r="H66" s="158"/>
    </row>
    <row r="67" spans="1:8">
      <c r="B67" s="158"/>
      <c r="C67" s="158"/>
      <c r="D67" s="158"/>
      <c r="E67" s="158"/>
      <c r="F67" s="158"/>
      <c r="G67" s="158"/>
      <c r="H67" s="158"/>
    </row>
    <row r="68" spans="1:8">
      <c r="B68" s="158"/>
      <c r="C68" s="158"/>
      <c r="D68" s="158"/>
      <c r="E68" s="158"/>
      <c r="F68" s="158"/>
      <c r="G68" s="158"/>
      <c r="H68" s="158"/>
    </row>
    <row r="69" spans="1:8">
      <c r="B69" s="158"/>
      <c r="C69" s="158"/>
      <c r="D69" s="158"/>
      <c r="E69" s="158"/>
      <c r="F69" s="158"/>
      <c r="G69" s="158"/>
      <c r="H69" s="158"/>
    </row>
    <row r="70" spans="1:8">
      <c r="B70" s="158"/>
      <c r="C70" s="158"/>
      <c r="D70" s="158"/>
      <c r="E70" s="158"/>
      <c r="F70" s="158"/>
      <c r="G70" s="158"/>
      <c r="H70" s="158"/>
    </row>
    <row r="71" spans="1:8">
      <c r="B71" s="158"/>
      <c r="C71" s="158"/>
      <c r="D71" s="158"/>
      <c r="E71" s="158"/>
      <c r="F71" s="158"/>
      <c r="G71" s="158"/>
      <c r="H71" s="158"/>
    </row>
    <row r="72" spans="1:8">
      <c r="B72" s="158"/>
      <c r="C72" s="158"/>
      <c r="D72" s="158"/>
      <c r="E72" s="158"/>
      <c r="F72" s="158"/>
      <c r="G72" s="158"/>
      <c r="H72" s="158"/>
    </row>
    <row r="73" spans="1:8">
      <c r="B73" s="158"/>
      <c r="C73" s="158"/>
      <c r="D73" s="158"/>
      <c r="E73" s="158"/>
      <c r="F73" s="158"/>
      <c r="G73" s="158"/>
      <c r="H73" s="158"/>
    </row>
    <row r="74" spans="1:8">
      <c r="B74" s="158"/>
      <c r="C74" s="158"/>
      <c r="D74" s="158"/>
      <c r="E74" s="158"/>
      <c r="F74" s="158"/>
      <c r="G74" s="158"/>
      <c r="H74" s="158"/>
    </row>
    <row r="75" spans="1:8">
      <c r="B75" s="158"/>
      <c r="C75" s="158"/>
      <c r="D75" s="158"/>
      <c r="E75" s="158"/>
      <c r="F75" s="158"/>
      <c r="G75" s="158"/>
      <c r="H75" s="158"/>
    </row>
    <row r="77" spans="1:8">
      <c r="A77" s="133" t="s">
        <v>152</v>
      </c>
    </row>
    <row r="78" spans="1:8" ht="14.5" customHeight="1">
      <c r="B78" s="158" t="s">
        <v>156</v>
      </c>
      <c r="C78" s="158"/>
      <c r="D78" s="158"/>
      <c r="E78" s="158"/>
      <c r="F78" s="158"/>
      <c r="G78" s="158"/>
      <c r="H78" s="158"/>
    </row>
    <row r="79" spans="1:8">
      <c r="B79" s="158"/>
      <c r="C79" s="158"/>
      <c r="D79" s="158"/>
      <c r="E79" s="158"/>
      <c r="F79" s="158"/>
      <c r="G79" s="158"/>
      <c r="H79" s="158"/>
    </row>
    <row r="80" spans="1:8">
      <c r="B80" s="158"/>
      <c r="C80" s="158"/>
      <c r="D80" s="158"/>
      <c r="E80" s="158"/>
      <c r="F80" s="158"/>
      <c r="G80" s="158"/>
      <c r="H80" s="158"/>
    </row>
    <row r="81" spans="2:8">
      <c r="B81" s="158"/>
      <c r="C81" s="158"/>
      <c r="D81" s="158"/>
      <c r="E81" s="158"/>
      <c r="F81" s="158"/>
      <c r="G81" s="158"/>
      <c r="H81" s="158"/>
    </row>
    <row r="82" spans="2:8">
      <c r="B82" s="158"/>
      <c r="C82" s="158"/>
      <c r="D82" s="158"/>
      <c r="E82" s="158"/>
      <c r="F82" s="158"/>
      <c r="G82" s="158"/>
      <c r="H82" s="158"/>
    </row>
    <row r="83" spans="2:8">
      <c r="B83" s="158"/>
      <c r="C83" s="158"/>
      <c r="D83" s="158"/>
      <c r="E83" s="158"/>
      <c r="F83" s="158"/>
      <c r="G83" s="158"/>
      <c r="H83" s="158"/>
    </row>
    <row r="84" spans="2:8">
      <c r="B84" s="158"/>
      <c r="C84" s="158"/>
      <c r="D84" s="158"/>
      <c r="E84" s="158"/>
      <c r="F84" s="158"/>
      <c r="G84" s="158"/>
      <c r="H84" s="158"/>
    </row>
    <row r="85" spans="2:8">
      <c r="B85" s="158"/>
      <c r="C85" s="158"/>
      <c r="D85" s="158"/>
      <c r="E85" s="158"/>
      <c r="F85" s="158"/>
      <c r="G85" s="158"/>
      <c r="H85" s="158"/>
    </row>
    <row r="86" spans="2:8">
      <c r="B86" s="158"/>
      <c r="C86" s="158"/>
      <c r="D86" s="158"/>
      <c r="E86" s="158"/>
      <c r="F86" s="158"/>
      <c r="G86" s="158"/>
      <c r="H86" s="158"/>
    </row>
    <row r="87" spans="2:8">
      <c r="B87" s="158"/>
      <c r="C87" s="158"/>
      <c r="D87" s="158"/>
      <c r="E87" s="158"/>
      <c r="F87" s="158"/>
      <c r="G87" s="158"/>
      <c r="H87" s="158"/>
    </row>
    <row r="88" spans="2:8">
      <c r="B88" s="158"/>
      <c r="C88" s="158"/>
      <c r="D88" s="158"/>
      <c r="E88" s="158"/>
      <c r="F88" s="158"/>
      <c r="G88" s="158"/>
      <c r="H88" s="158"/>
    </row>
    <row r="89" spans="2:8">
      <c r="B89" s="158"/>
      <c r="C89" s="158"/>
      <c r="D89" s="158"/>
      <c r="E89" s="158"/>
      <c r="F89" s="158"/>
      <c r="G89" s="158"/>
      <c r="H89" s="158"/>
    </row>
    <row r="90" spans="2:8">
      <c r="B90" s="158"/>
      <c r="C90" s="158"/>
      <c r="D90" s="158"/>
      <c r="E90" s="158"/>
      <c r="F90" s="158"/>
      <c r="G90" s="158"/>
      <c r="H90" s="158"/>
    </row>
    <row r="91" spans="2:8">
      <c r="B91" s="158"/>
      <c r="C91" s="158"/>
      <c r="D91" s="158"/>
      <c r="E91" s="158"/>
      <c r="F91" s="158"/>
      <c r="G91" s="158"/>
      <c r="H91" s="158"/>
    </row>
    <row r="92" spans="2:8">
      <c r="B92" s="158"/>
      <c r="C92" s="158"/>
      <c r="D92" s="158"/>
      <c r="E92" s="158"/>
      <c r="F92" s="158"/>
      <c r="G92" s="158"/>
      <c r="H92" s="158"/>
    </row>
    <row r="93" spans="2:8">
      <c r="B93" s="158"/>
      <c r="C93" s="158"/>
      <c r="D93" s="158"/>
      <c r="E93" s="158"/>
      <c r="F93" s="158"/>
      <c r="G93" s="158"/>
      <c r="H93" s="158"/>
    </row>
    <row r="94" spans="2:8">
      <c r="B94" s="158"/>
      <c r="C94" s="158"/>
      <c r="D94" s="158"/>
      <c r="E94" s="158"/>
      <c r="F94" s="158"/>
      <c r="G94" s="158"/>
      <c r="H94" s="158"/>
    </row>
    <row r="95" spans="2:8">
      <c r="B95" s="158"/>
      <c r="C95" s="158"/>
      <c r="D95" s="158"/>
      <c r="E95" s="158"/>
      <c r="F95" s="158"/>
      <c r="G95" s="158"/>
      <c r="H95" s="158"/>
    </row>
    <row r="96" spans="2:8">
      <c r="B96" s="158"/>
      <c r="C96" s="158"/>
      <c r="D96" s="158"/>
      <c r="E96" s="158"/>
      <c r="F96" s="158"/>
      <c r="G96" s="158"/>
      <c r="H96" s="158"/>
    </row>
    <row r="97" spans="2:8">
      <c r="B97" s="158"/>
      <c r="C97" s="158"/>
      <c r="D97" s="158"/>
      <c r="E97" s="158"/>
      <c r="F97" s="158"/>
      <c r="G97" s="158"/>
      <c r="H97" s="158"/>
    </row>
    <row r="98" spans="2:8">
      <c r="B98" s="158"/>
      <c r="C98" s="158"/>
      <c r="D98" s="158"/>
      <c r="E98" s="158"/>
      <c r="F98" s="158"/>
      <c r="G98" s="158"/>
      <c r="H98" s="158"/>
    </row>
    <row r="99" spans="2:8">
      <c r="B99" s="158"/>
      <c r="C99" s="158"/>
      <c r="D99" s="158"/>
      <c r="E99" s="158"/>
      <c r="F99" s="158"/>
      <c r="G99" s="158"/>
      <c r="H99" s="158"/>
    </row>
    <row r="100" spans="2:8">
      <c r="B100" s="158"/>
      <c r="C100" s="158"/>
      <c r="D100" s="158"/>
      <c r="E100" s="158"/>
      <c r="F100" s="158"/>
      <c r="G100" s="158"/>
      <c r="H100" s="158"/>
    </row>
    <row r="101" spans="2:8">
      <c r="B101" s="158"/>
      <c r="C101" s="158"/>
      <c r="D101" s="158"/>
      <c r="E101" s="158"/>
      <c r="F101" s="158"/>
      <c r="G101" s="158"/>
      <c r="H101" s="158"/>
    </row>
    <row r="102" spans="2:8">
      <c r="B102" s="158"/>
      <c r="C102" s="158"/>
      <c r="D102" s="158"/>
      <c r="E102" s="158"/>
      <c r="F102" s="158"/>
      <c r="G102" s="158"/>
      <c r="H102" s="158"/>
    </row>
  </sheetData>
  <mergeCells count="6">
    <mergeCell ref="B54:H75"/>
    <mergeCell ref="B2:H12"/>
    <mergeCell ref="B15:H25"/>
    <mergeCell ref="B28:H38"/>
    <mergeCell ref="B41:H51"/>
    <mergeCell ref="B78:H10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ACTUALS</vt:lpstr>
      <vt:lpstr>ASSUMPTIONS</vt:lpstr>
      <vt:lpstr>REVENUE</vt:lpstr>
      <vt:lpstr>P&amp;L</vt:lpstr>
      <vt:lpstr>SCENARIO</vt:lpstr>
      <vt:lpstr>DASHBOARD</vt:lpstr>
      <vt:lpstr>CHARTS</vt:lpstr>
      <vt:lpstr>INSIGHT</vt:lpstr>
      <vt:lpstr>AuditCost</vt:lpstr>
      <vt:lpstr>AuditRate</vt:lpstr>
      <vt:lpstr>GrowthRate</vt:lpstr>
      <vt:lpstr>Overhead</vt:lpstr>
      <vt:lpstr>RateIncrease</vt:lpstr>
      <vt:lpstr>TargetReal</vt:lpstr>
      <vt:lpstr>TargetUtil</vt:lpstr>
      <vt:lpstr>TaxCost</vt:lpstr>
      <vt:lpstr>TaxRate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Dabi Njere</dc:creator>
  <cp:lastModifiedBy>Dabi Njere</cp:lastModifiedBy>
  <dcterms:created xsi:type="dcterms:W3CDTF">2026-06-21T21:20:45Z</dcterms:created>
  <dcterms:modified xsi:type="dcterms:W3CDTF">2026-07-10T00:30:23Z</dcterms:modified>
</cp:coreProperties>
</file>