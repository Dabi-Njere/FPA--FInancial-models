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dcd43ffb156b6104/Desktop/2026 Resume Folder January Job applications/"/>
    </mc:Choice>
  </mc:AlternateContent>
  <xr:revisionPtr revIDLastSave="1927" documentId="8_{DC08C7DD-4338-40FD-BD6E-F16CA0B575C8}" xr6:coauthVersionLast="47" xr6:coauthVersionMax="47" xr10:uidLastSave="{141D2511-5325-49DA-B9F9-02CC8B0FA5F9}"/>
  <bookViews>
    <workbookView xWindow="23490" yWindow="3090" windowWidth="24030" windowHeight="16320" xr2:uid="{024CE6D0-7315-48FB-BAF8-8DF23E2B6484}"/>
  </bookViews>
  <sheets>
    <sheet name="Historical &amp; Assumptions" sheetId="6" r:id="rId1"/>
    <sheet name="Sales-Assisted Revenue" sheetId="3" r:id="rId2"/>
    <sheet name="Self-Serve Revenue" sheetId="2" r:id="rId3"/>
    <sheet name="Combined P&amp;L" sheetId="4" r:id="rId4"/>
    <sheet name="Scenarios" sheetId="5" r:id="rId5"/>
    <sheet name="Insights" sheetId="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3" i="5" l="1"/>
  <c r="E8" i="5"/>
  <c r="E33" i="5"/>
  <c r="E26" i="5"/>
  <c r="E25" i="5"/>
  <c r="E24" i="5"/>
  <c r="E22" i="5"/>
  <c r="E19" i="5"/>
  <c r="E16" i="5"/>
  <c r="E17" i="5"/>
  <c r="E15" i="5"/>
  <c r="E14" i="5"/>
  <c r="E7" i="5"/>
  <c r="E9" i="5"/>
  <c r="E10" i="5"/>
  <c r="E11" i="5"/>
  <c r="E6" i="5"/>
  <c r="C11" i="5"/>
  <c r="D11" i="5"/>
  <c r="B11" i="5"/>
  <c r="C95" i="6"/>
  <c r="D95" i="6"/>
  <c r="E95" i="6"/>
  <c r="C96" i="6"/>
  <c r="D96" i="6"/>
  <c r="E96" i="6"/>
  <c r="C97" i="6"/>
  <c r="D97" i="6"/>
  <c r="E97" i="6"/>
  <c r="D94" i="6"/>
  <c r="E94" i="6"/>
  <c r="C94" i="6"/>
  <c r="B95" i="6"/>
  <c r="B96" i="6"/>
  <c r="B97" i="6"/>
  <c r="B94" i="6"/>
  <c r="C26" i="4"/>
  <c r="D26" i="4"/>
  <c r="B26" i="4"/>
  <c r="C23" i="4"/>
  <c r="D23" i="4"/>
  <c r="B23" i="4"/>
  <c r="C20" i="4"/>
  <c r="D20" i="4"/>
  <c r="B20" i="4"/>
  <c r="C19" i="4"/>
  <c r="D19" i="4"/>
  <c r="B19" i="4"/>
  <c r="C18" i="4"/>
  <c r="D18" i="4"/>
  <c r="B18" i="4"/>
  <c r="C17" i="4"/>
  <c r="D17" i="4"/>
  <c r="B17" i="4"/>
  <c r="C13" i="4"/>
  <c r="D13" i="4"/>
  <c r="B13" i="4"/>
  <c r="A3" i="4"/>
  <c r="C30" i="6"/>
  <c r="C13" i="3" s="1"/>
  <c r="D30" i="6"/>
  <c r="D13" i="3" s="1"/>
  <c r="B30" i="6"/>
  <c r="B13" i="3" s="1"/>
  <c r="C4" i="2"/>
  <c r="C6" i="4" s="1"/>
  <c r="D4" i="2"/>
  <c r="D6" i="4" s="1"/>
  <c r="B4" i="2"/>
  <c r="B6" i="4" s="1"/>
  <c r="B9" i="3"/>
  <c r="B12" i="3" s="1"/>
  <c r="C9" i="3" s="1"/>
  <c r="C5" i="3"/>
  <c r="C7" i="4" s="1"/>
  <c r="D5" i="3"/>
  <c r="D7" i="4" s="1"/>
  <c r="B5" i="3"/>
  <c r="B7" i="4" s="1"/>
  <c r="B90" i="6"/>
  <c r="C10" i="3" s="1"/>
  <c r="B89" i="6"/>
  <c r="B88" i="6"/>
  <c r="B87" i="6"/>
  <c r="B22" i="6"/>
  <c r="B28" i="6" s="1"/>
  <c r="B29" i="6" s="1"/>
  <c r="B12" i="2" s="1"/>
  <c r="D22" i="6"/>
  <c r="D28" i="6" s="1"/>
  <c r="D29" i="6" s="1"/>
  <c r="D12" i="2" s="1"/>
  <c r="C22" i="6"/>
  <c r="C28" i="6" s="1"/>
  <c r="C29" i="6" s="1"/>
  <c r="C12" i="2" s="1"/>
  <c r="D21" i="4" l="1"/>
  <c r="C21" i="4"/>
  <c r="D8" i="4"/>
  <c r="D24" i="4" s="1"/>
  <c r="C8" i="4"/>
  <c r="C24" i="4" s="1"/>
  <c r="B21" i="4"/>
  <c r="B8" i="4"/>
  <c r="B12" i="4" s="1"/>
  <c r="B14" i="4" s="1"/>
  <c r="B17" i="3"/>
  <c r="E12" i="2"/>
  <c r="F12" i="2" s="1"/>
  <c r="E13" i="3"/>
  <c r="F13" i="3" s="1"/>
  <c r="D5" i="2"/>
  <c r="B51" i="6"/>
  <c r="C5" i="2"/>
  <c r="D6" i="3"/>
  <c r="C51" i="6"/>
  <c r="C6" i="3"/>
  <c r="D24" i="6"/>
  <c r="B8" i="2"/>
  <c r="B11" i="2" s="1"/>
  <c r="C10" i="2" s="1"/>
  <c r="C24" i="6"/>
  <c r="B24" i="6"/>
  <c r="E29" i="6"/>
  <c r="E30" i="6"/>
  <c r="C11" i="3"/>
  <c r="C12" i="3" s="1"/>
  <c r="D10" i="3"/>
  <c r="E23" i="6"/>
  <c r="C27" i="4" l="1"/>
  <c r="D27" i="4"/>
  <c r="D9" i="4"/>
  <c r="D12" i="4"/>
  <c r="D14" i="4" s="1"/>
  <c r="C12" i="4"/>
  <c r="C14" i="4" s="1"/>
  <c r="B24" i="4"/>
  <c r="C9" i="4"/>
  <c r="B27" i="4"/>
  <c r="G13" i="3"/>
  <c r="G12" i="2"/>
  <c r="B16" i="2"/>
  <c r="C8" i="2"/>
  <c r="C9" i="2" s="1"/>
  <c r="C17" i="3"/>
  <c r="D9" i="3"/>
  <c r="D11" i="3" s="1"/>
  <c r="B91" i="6" l="1"/>
  <c r="H12" i="2"/>
  <c r="H13" i="3"/>
  <c r="C14" i="3"/>
  <c r="C11" i="2"/>
  <c r="D10" i="2" s="1"/>
  <c r="D12" i="3"/>
  <c r="E27" i="5" l="1"/>
  <c r="D8" i="2"/>
  <c r="D9" i="2" s="1"/>
  <c r="D11" i="2" s="1"/>
  <c r="E9" i="3"/>
  <c r="D17" i="3" l="1"/>
  <c r="D14" i="3"/>
  <c r="E10" i="2"/>
  <c r="E8" i="2"/>
  <c r="E9" i="2" s="1"/>
  <c r="D16" i="2"/>
  <c r="F9" i="3"/>
  <c r="E10" i="3"/>
  <c r="E11" i="3"/>
  <c r="E11" i="2" l="1"/>
  <c r="E12" i="3"/>
  <c r="G9" i="3"/>
  <c r="F10" i="3"/>
  <c r="F11" i="3"/>
  <c r="E5" i="3" l="1"/>
  <c r="E6" i="3" s="1"/>
  <c r="F12" i="3"/>
  <c r="F5" i="3" s="1"/>
  <c r="F10" i="2"/>
  <c r="E4" i="2"/>
  <c r="E13" i="2"/>
  <c r="F8" i="2"/>
  <c r="F9" i="2" s="1"/>
  <c r="F14" i="3"/>
  <c r="G10" i="3"/>
  <c r="G11" i="3"/>
  <c r="H9" i="3"/>
  <c r="E14" i="3"/>
  <c r="D13" i="2"/>
  <c r="C13" i="2"/>
  <c r="C16" i="2"/>
  <c r="E7" i="4" l="1"/>
  <c r="E17" i="3"/>
  <c r="E5" i="2"/>
  <c r="E6" i="4"/>
  <c r="F6" i="3"/>
  <c r="F7" i="4"/>
  <c r="F17" i="3"/>
  <c r="E16" i="2"/>
  <c r="F11" i="2"/>
  <c r="G12" i="3"/>
  <c r="H10" i="3"/>
  <c r="H11" i="3"/>
  <c r="E8" i="4" l="1"/>
  <c r="G5" i="3"/>
  <c r="G10" i="2"/>
  <c r="F4" i="2"/>
  <c r="F13" i="2"/>
  <c r="G14" i="3"/>
  <c r="G8" i="2"/>
  <c r="G9" i="2" s="1"/>
  <c r="H12" i="3"/>
  <c r="E18" i="4" l="1"/>
  <c r="E12" i="4"/>
  <c r="E17" i="4"/>
  <c r="E19" i="4"/>
  <c r="E9" i="4"/>
  <c r="F5" i="2"/>
  <c r="F6" i="4"/>
  <c r="G6" i="3"/>
  <c r="G7" i="4"/>
  <c r="H5" i="3"/>
  <c r="G17" i="3"/>
  <c r="F16" i="2"/>
  <c r="G11" i="2"/>
  <c r="G4" i="2" s="1"/>
  <c r="H14" i="3"/>
  <c r="G13" i="2"/>
  <c r="E30" i="5" l="1"/>
  <c r="H7" i="4"/>
  <c r="E13" i="4"/>
  <c r="E14" i="4"/>
  <c r="E21" i="4"/>
  <c r="E23" i="4" s="1"/>
  <c r="E24" i="4" s="1"/>
  <c r="F8" i="4"/>
  <c r="H10" i="2"/>
  <c r="G5" i="2"/>
  <c r="G6" i="4"/>
  <c r="H8" i="2"/>
  <c r="H9" i="2" s="1"/>
  <c r="B20" i="3"/>
  <c r="H6" i="3"/>
  <c r="H17" i="3"/>
  <c r="G16" i="2"/>
  <c r="F19" i="4" l="1"/>
  <c r="F17" i="4"/>
  <c r="F18" i="4"/>
  <c r="F12" i="4"/>
  <c r="F14" i="4" s="1"/>
  <c r="F9" i="4"/>
  <c r="G8" i="4"/>
  <c r="H11" i="2"/>
  <c r="H13" i="2"/>
  <c r="F13" i="4" l="1"/>
  <c r="H4" i="2"/>
  <c r="G19" i="4"/>
  <c r="G18" i="4"/>
  <c r="G12" i="4"/>
  <c r="G14" i="4" s="1"/>
  <c r="G17" i="4"/>
  <c r="F21" i="4"/>
  <c r="F23" i="4" s="1"/>
  <c r="F24" i="4" s="1"/>
  <c r="G9" i="4"/>
  <c r="H16" i="2" l="1"/>
  <c r="E31" i="5"/>
  <c r="H5" i="2"/>
  <c r="B19" i="2"/>
  <c r="G13" i="4"/>
  <c r="H6" i="4"/>
  <c r="H8" i="4" s="1"/>
  <c r="G21" i="4"/>
  <c r="G23" i="4" s="1"/>
  <c r="G24" i="4" s="1"/>
  <c r="E32" i="5" l="1"/>
  <c r="H9" i="4"/>
  <c r="H19" i="4"/>
  <c r="H12" i="4"/>
  <c r="H18" i="4"/>
  <c r="H17" i="4"/>
  <c r="H13" i="4" l="1"/>
  <c r="H21" i="4"/>
  <c r="H14" i="4"/>
  <c r="H23" i="4" l="1"/>
  <c r="H24" i="4" s="1"/>
</calcChain>
</file>

<file path=xl/sharedStrings.xml><?xml version="1.0" encoding="utf-8"?>
<sst xmlns="http://schemas.openxmlformats.org/spreadsheetml/2006/main" count="262" uniqueCount="156">
  <si>
    <t>Driver</t>
  </si>
  <si>
    <t>Gross Margin %</t>
  </si>
  <si>
    <t>Base</t>
  </si>
  <si>
    <t>Upside</t>
  </si>
  <si>
    <t>Downside</t>
  </si>
  <si>
    <t>ARPU Growth %</t>
  </si>
  <si>
    <t>Metric</t>
  </si>
  <si>
    <t>2023E</t>
  </si>
  <si>
    <t>Self-Serve Revenue Model</t>
  </si>
  <si>
    <t>2021A</t>
  </si>
  <si>
    <t>2022A</t>
  </si>
  <si>
    <t>2025F</t>
  </si>
  <si>
    <t>2024F</t>
  </si>
  <si>
    <t>2026F</t>
  </si>
  <si>
    <t>YoY Growth %</t>
  </si>
  <si>
    <t>-</t>
  </si>
  <si>
    <t>2020A</t>
  </si>
  <si>
    <t>Sales-Assisted ARPU($)</t>
  </si>
  <si>
    <t>Revenue</t>
  </si>
  <si>
    <t>Self-Serve Revenue</t>
  </si>
  <si>
    <t>Sales-Assisted Revenue</t>
  </si>
  <si>
    <t>Total Revenue</t>
  </si>
  <si>
    <t>P&amp;L</t>
  </si>
  <si>
    <t>Cost of Revenue</t>
  </si>
  <si>
    <t>Gross Profit</t>
  </si>
  <si>
    <t>R&amp;D</t>
  </si>
  <si>
    <t>Sales &amp; Marketing</t>
  </si>
  <si>
    <t>G&amp;A</t>
  </si>
  <si>
    <t>Restructuring</t>
  </si>
  <si>
    <t>Total OpEx</t>
  </si>
  <si>
    <t>Operating Loss</t>
  </si>
  <si>
    <t>GAAP Net Loss</t>
  </si>
  <si>
    <t>Customer Metrics</t>
  </si>
  <si>
    <t>Total Paying Users</t>
  </si>
  <si>
    <t>Company ARPU (Annual)</t>
  </si>
  <si>
    <t>Self-Serve Users</t>
  </si>
  <si>
    <t>Self-Serve ARPU</t>
  </si>
  <si>
    <t>Sales-Assisted ARPU</t>
  </si>
  <si>
    <t>Expense Ratios — % of Revenue</t>
  </si>
  <si>
    <t>Cost of Revenue %</t>
  </si>
  <si>
    <t>R&amp;D %</t>
  </si>
  <si>
    <t>Sales &amp; Marketing %</t>
  </si>
  <si>
    <t>G&amp;A %</t>
  </si>
  <si>
    <t>Growth Rates — Historical</t>
  </si>
  <si>
    <t>Self-Serve Revenue Growth</t>
  </si>
  <si>
    <t>Sales-Assisted Revenue Growth</t>
  </si>
  <si>
    <t>Total Revenue Growth</t>
  </si>
  <si>
    <t>Sales-Assisted Customer Growth</t>
  </si>
  <si>
    <t>Self-Serve ARPU Growth</t>
  </si>
  <si>
    <t>Sales-Assisted ARPU Growth</t>
  </si>
  <si>
    <t>Gross Margin Improvement</t>
  </si>
  <si>
    <t>+2.9pts</t>
  </si>
  <si>
    <t>+1.5pts</t>
  </si>
  <si>
    <t>R&amp;D % Change</t>
  </si>
  <si>
    <t>+1.3pts</t>
  </si>
  <si>
    <t>-2.7pts</t>
  </si>
  <si>
    <t>S&amp;M % Change</t>
  </si>
  <si>
    <t>+4.6pts</t>
  </si>
  <si>
    <t>-4.0pts</t>
  </si>
  <si>
    <t>G&amp;A % Change</t>
  </si>
  <si>
    <t>+0.6pts</t>
  </si>
  <si>
    <t>-1.6pts</t>
  </si>
  <si>
    <t>Revenue Drivers</t>
  </si>
  <si>
    <t>Enterprise Churn Rate</t>
  </si>
  <si>
    <t>R&amp;D % of Revenue</t>
  </si>
  <si>
    <t>S&amp;M % of Revenue</t>
  </si>
  <si>
    <t>G&amp;A % of Revenue</t>
  </si>
  <si>
    <t>SECTION 3 — SCENARIO TOGGLE</t>
  </si>
  <si>
    <t>Setting</t>
  </si>
  <si>
    <t>Value</t>
  </si>
  <si>
    <t>Derived Metrics</t>
  </si>
  <si>
    <r>
      <t>SECTION 2 — FORECAST ASSUMPTIONS</t>
    </r>
    <r>
      <rPr>
        <sz val="11"/>
        <color theme="1"/>
        <rFont val="Aptos Narrow"/>
        <family val="2"/>
        <scheme val="minor"/>
      </rPr>
      <t xml:space="preserve"> </t>
    </r>
  </si>
  <si>
    <t xml:space="preserve">ACTIVE SCENERIO </t>
  </si>
  <si>
    <t>Sales-Assisted Users</t>
  </si>
  <si>
    <t>Sales-Assisted User Growth</t>
  </si>
  <si>
    <t>Sales Assisted Revenue Model</t>
  </si>
  <si>
    <t>Metrics</t>
  </si>
  <si>
    <t>Driver Section</t>
  </si>
  <si>
    <t>Cross Check Section</t>
  </si>
  <si>
    <t>Summary box</t>
  </si>
  <si>
    <t>Beginning Customers</t>
  </si>
  <si>
    <t>New Customers</t>
  </si>
  <si>
    <t>Churned Customers</t>
  </si>
  <si>
    <t>Ending Customers</t>
  </si>
  <si>
    <t>Variance Vs Revenue Line</t>
  </si>
  <si>
    <t>Sales-Assisted Revenue(M)</t>
  </si>
  <si>
    <t>Self-Serve Revenue(M)</t>
  </si>
  <si>
    <t>N-Line</t>
  </si>
  <si>
    <t xml:space="preserve">Self-Serve Customer growth </t>
  </si>
  <si>
    <t>Self-Serve Customer growth</t>
  </si>
  <si>
    <t>Self-Serve ARPU($)</t>
  </si>
  <si>
    <t>SurveyMonkey — Combined P&amp;L</t>
  </si>
  <si>
    <t>P&amp;L ($M)</t>
  </si>
  <si>
    <t>REVENUE</t>
  </si>
  <si>
    <t>Revenue Growth %</t>
  </si>
  <si>
    <t>OPERATING EXPENSES</t>
  </si>
  <si>
    <t>Research &amp; Development</t>
  </si>
  <si>
    <t>General &amp; Administrative</t>
  </si>
  <si>
    <t>Total Operating Expenses</t>
  </si>
  <si>
    <t>Operating Income / (Loss)</t>
  </si>
  <si>
    <t>GAAP Net Income / (Loss)</t>
  </si>
  <si>
    <t>Operating Margin %</t>
  </si>
  <si>
    <t>Net Margin %</t>
  </si>
  <si>
    <t>COST DRIVERS — UPSIDE CASE</t>
  </si>
  <si>
    <t>COST DRIVERS — DOWNSIDE CASE</t>
  </si>
  <si>
    <t>COST DRIVERS — BASE CASE</t>
  </si>
  <si>
    <t>SELECTED</t>
  </si>
  <si>
    <t>Gross Margin % 2026F</t>
  </si>
  <si>
    <t>Operating Margin % 2026F</t>
  </si>
  <si>
    <t>SA Ending Customers 2026F</t>
  </si>
  <si>
    <t>SS Ending Users 2026F</t>
  </si>
  <si>
    <t>SurveyMonkey (Momentive) — Scenario Analysis</t>
  </si>
  <si>
    <t>Base vs Upside vs Downside — Full Forecast Comparison (2026F)</t>
  </si>
  <si>
    <t>Base Case</t>
  </si>
  <si>
    <t>Gap (Up vs Down)</t>
  </si>
  <si>
    <t>Total Revenue 2023E ($M)</t>
  </si>
  <si>
    <t>Total Revenue 2026F ($M)</t>
  </si>
  <si>
    <t>Revenue CAGR 2022- 2026</t>
  </si>
  <si>
    <t>SA Revenue 2026F ($M)</t>
  </si>
  <si>
    <t>SS Revenue 2026F($M)</t>
  </si>
  <si>
    <t>SA % of Total Revenue 2026F</t>
  </si>
  <si>
    <t>PROFITABILITY</t>
  </si>
  <si>
    <t>Gross Profit 2026F ($M)</t>
  </si>
  <si>
    <t>Operating Income 2026F ($M)</t>
  </si>
  <si>
    <t xml:space="preserve">Breakeven Achieved? </t>
  </si>
  <si>
    <t>Totall OpEx 2026F ($M)</t>
  </si>
  <si>
    <t>CUSTOMERS</t>
  </si>
  <si>
    <t>SA Customer CAGR 2022-2026</t>
  </si>
  <si>
    <t>SA Revenue Per Customer 2026F</t>
  </si>
  <si>
    <t>SS Userr Change vs 2022</t>
  </si>
  <si>
    <t>SS Revenue per User 2026F($)</t>
  </si>
  <si>
    <t>KEY METRICS</t>
  </si>
  <si>
    <t>SA Revenue Growth 2022-2026</t>
  </si>
  <si>
    <t>SS Revenue Change 2022-2026</t>
  </si>
  <si>
    <t>Total Revenue Growth 2022-2026</t>
  </si>
  <si>
    <t>STRATEGIC RECOMMENDATION</t>
  </si>
  <si>
    <t>The Base scenario projects SurveyMonkey reaching operating breakeven in 2026 at $745.9M revenue — a 55% increase from 2022 driven almost entirely by Sales-Assisted growth of 159%. The Upside scenario demonstrates that aggressive enterprise execution and PE-backed investment efficiency could deliver $79.3M operating income by 2026. The Downside scenario highlights the existential risk of enterprise sales underperformance — at -30% operating margin the business burns $175M annually, threatening long-term viability. Across all scenarios Sales-Assisted revenue represents 63-64% of total revenue by 2026, confirming the strategic pivot away from self-serve is irreversible. The critical variable is enterprise customer retention — a 5% improvement in churn rate is worth approximately $60M in additional 2026 revenue.</t>
  </si>
  <si>
    <t>NO</t>
  </si>
  <si>
    <t>YES</t>
  </si>
  <si>
    <t>Gross Margin Improvement vs 2022-2026</t>
  </si>
  <si>
    <t>SurveyMonkey (Momentive) — Analyst Insights &amp; Commentary</t>
  </si>
  <si>
    <t>Based on SEC 10-K filings (2020-2022) and driver-based forecast (2023-2026)</t>
  </si>
  <si>
    <t>1. BUSINESS MODEL OVERVIEW</t>
  </si>
  <si>
    <t>SurveyMonkey operates a two-segment revenue model — self-serve and sales-assisted — that are fundamentally different businesses running in parallel. Self-serve generates high-volume, low-ARPU revenue from individuals and small teams who sign up online without sales interaction. Sales-assisted generates low-volume, high-ARPU revenue from enterprise customers sold to by a dedicated sales force. In 2022 self-serve generated $299.6M from 872,500 users at $344 ARPU while sales-assisted generated $181.3M from just 14,500 customers at $12,503 ARPU — a 36x difference in revenue per customer. This asymmetry is the defining feature of the business and the primary driver of all strategic decisions.</t>
  </si>
  <si>
    <t>2. THE STRATEGIC PIVOT</t>
  </si>
  <si>
    <t>Management made a deliberate decision to redirect investment from self-serve to sales-assisted beginning in 2021. The evidence is clear in the data — self-serve revenue grew 12.5% in 2021 then declined -0.5% in 2022 despite total paying users remaining essentially flat at 887,000. Meanwhile sales-assisted grew 32.3% in 2021 and 27.1% in 2022, adding 6,300 net enterprise customers over two years. This pivot is financially rational — winning one enterprise customer at $12,503 ARPU requires the same operational effort as acquiring 36 self-serve users at $344 ARPU. The acquisition by Symphony Technology Group in 2023 for $1.5B validates this strategy, as PE investors typically accelerate exactly this kind of high-margin enterprise transition.</t>
  </si>
  <si>
    <t>3. THE PROFITABILITY CHALLENGE</t>
  </si>
  <si>
    <t>Despite generating 82% gross margins — exceptional by any standard — SurveyMonkey remained loss-making through 2022 with a -16.9% operating margin. The culprit is Sales &amp; Marketing spend running at 46.5% of revenue in 2022, reflecting the high cost of enterprise customer acquisition. This is a deliberate growth investment — the company is spending today to acquire enterprise customers whose lifetime value justifies the upfront cost. R&amp;D at 28.7% represents continued platform investment to support the enterprise product roadmap. The path to profitability requires either revenue scaling faster than the cost base — operating leverage — or deliberate cost ratio reduction as the enterprise customer base matures. Our Base scenario models both, projecting operating breakeven in 2026 at $745.9M revenue.</t>
  </si>
  <si>
    <t>4. SCENARIO ANALYSIS — KEY FINDINGS</t>
  </si>
  <si>
    <t>Three scenarios were modeled using mathematically derived assumptions grounded in historical SEC filing data. In the Base scenario the business reaches operating breakeven in 2026 generating $11.2M operating income on $745.9M revenue — a 55% increase from 2022 driven by 159% Sales-Assisted revenue growth. In the Upside scenario accelerated enterprise execution and PE-backed cost discipline delivers $79.3M operating income by 2026 with an 8.5% operating margin. In the Downside scenario enterprise sales underperformance and post-acquisition cost pressure produces a -30% operating margin in 2026 with $175M annual cash burn — a financially unsustainable position requiring either external capital or strategic restructuring. The $349M revenue gap between Upside and Downside in 2026 illustrates the binary nature of enterprise SaaS growth — execution quality determines everything.</t>
  </si>
  <si>
    <t>5. SELF-SERVE DECLINE — RISK OR TRANSITION?</t>
  </si>
  <si>
    <t>Self-serve revenue is projected to decline from $299.6M in 2022 to $276.0M in 2026 at Base — a -7.9% cumulative decline over four years. This appears alarming in isolation but must be understood in strategic context. Management is deliberately reducing investment in self-serve customer acquisition as capital is redeployed to enterprise sales. The 872,500 self-serve users represent a stable installed base generating predictable recurring revenue — even in decline this segment contributes meaningfully to covering fixed costs. The risk scenario is not gentle decline but accelerated churn if competitors like Typeform, Google Forms, or Microsoft Forms aggressively price to capture defecting self-serve users. Our Downside scenario models this at -6% annual user decline producing $215.8M self-serve revenue by 2026 — a -28% cumulative decline that would materially impair the overall business case.</t>
  </si>
  <si>
    <t>6. MODEL LIMITATIONS &amp; ASSUMPTIONS</t>
  </si>
  <si>
    <t>This model has four key limitations that should be considered when interpreting results. First, SurveyMonkey became a private company in mid-2023 following acquisition by Symphony Technology Group — no audited financial data is available beyond Q1 2023, meaning all 2023-2026 projections are model-derived estimates not actual results. Second, cost assumptions use fixed annual ratios that improve linearly — real cost structures are more dynamic and respond to business conditions. Third, enterprise churn of 10% Base is derived from SaaS industry benchmarks as SurveyMonkey does not disclose segment-specific churn. Fourth, the model does not capture potential revenue from new product lines, geographic expansion, or M&amp;A activity that a PE owner might pursue. Despite these limitations the model provides a rigorous framework for understanding the business trajectory and evaluating strategic scenarios using all available public data.</t>
  </si>
  <si>
    <t>DATA SOURCES</t>
  </si>
  <si>
    <t>SEC Form 10-K Annual Reports: Fiscal Years 2020, 2021, 2022 — Momentive Global Inc. (formerly SurveyMonkey). Earnings releases and investor presentations: Q4 2020, Q4 2021, Q4 2022. SaaS industry benchmarks: OpenView Partners SaaS Benchmarks Report, KeyBanc Capital Markets SaaS Survey. Acquisition data: Symphony Technology Group press release, September 2023. All derived metrics calculated by analyst from verified source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</si>
</sst>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8" formatCode="&quot;$&quot;#,##0.00;[Red]\-&quot;$&quot;#,##0.00"/>
    <numFmt numFmtId="43" formatCode="_-* #,##0.00_-;\-* #,##0.00_-;_-* &quot;-&quot;??_-;_-@_-"/>
    <numFmt numFmtId="164" formatCode="0.0%"/>
    <numFmt numFmtId="165" formatCode="&quot;$&quot;#,##0.00"/>
  </numFmts>
  <fonts count="6">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0"/>
      <color theme="1"/>
      <name val="Arial Unicode MS"/>
    </font>
    <font>
      <sz val="10"/>
      <color theme="1"/>
      <name val="Arial Unicode MS"/>
    </font>
  </fonts>
  <fills count="10">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rgb="FF00B0F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3" tint="0.499984740745262"/>
        <bgColor indexed="64"/>
      </patternFill>
    </fill>
    <fill>
      <patternFill patternType="solid">
        <fgColor theme="3" tint="0.749992370372631"/>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81">
    <xf numFmtId="0" fontId="0" fillId="0" borderId="0" xfId="0"/>
    <xf numFmtId="8" fontId="0" fillId="0" borderId="0" xfId="0" applyNumberFormat="1"/>
    <xf numFmtId="0" fontId="0" fillId="0" borderId="0" xfId="0" applyAlignment="1">
      <alignment horizontal="center"/>
    </xf>
    <xf numFmtId="0" fontId="2" fillId="2" borderId="0" xfId="0" applyFont="1" applyFill="1"/>
    <xf numFmtId="0" fontId="0" fillId="0" borderId="0" xfId="0" applyAlignment="1">
      <alignment horizontal="left"/>
    </xf>
    <xf numFmtId="0" fontId="2" fillId="0" borderId="0" xfId="0" applyFont="1" applyAlignment="1">
      <alignment horizontal="left" vertical="center" wrapText="1"/>
    </xf>
    <xf numFmtId="8" fontId="0" fillId="0" borderId="0" xfId="0" applyNumberFormat="1" applyAlignment="1">
      <alignment horizontal="left" vertical="center" wrapText="1"/>
    </xf>
    <xf numFmtId="0" fontId="2" fillId="0" borderId="0" xfId="0" applyFont="1" applyAlignment="1">
      <alignment horizontal="left"/>
    </xf>
    <xf numFmtId="9" fontId="0" fillId="0" borderId="0" xfId="0" applyNumberFormat="1" applyAlignment="1">
      <alignment horizontal="left"/>
    </xf>
    <xf numFmtId="2" fontId="0" fillId="0" borderId="0" xfId="0" applyNumberFormat="1"/>
    <xf numFmtId="0" fontId="0" fillId="4" borderId="0" xfId="0" applyFill="1"/>
    <xf numFmtId="164" fontId="0" fillId="0" borderId="0" xfId="1" applyNumberFormat="1" applyFont="1"/>
    <xf numFmtId="10" fontId="0" fillId="0" borderId="0" xfId="1" applyNumberFormat="1" applyFont="1"/>
    <xf numFmtId="0" fontId="2" fillId="2" borderId="0" xfId="0" applyFont="1" applyFill="1" applyAlignment="1">
      <alignment horizontal="left"/>
    </xf>
    <xf numFmtId="0" fontId="0" fillId="2" borderId="0" xfId="0" applyFill="1" applyAlignment="1">
      <alignment horizontal="left"/>
    </xf>
    <xf numFmtId="0" fontId="0" fillId="0" borderId="0" xfId="0" applyAlignment="1">
      <alignment horizontal="left" vertical="center" wrapText="1"/>
    </xf>
    <xf numFmtId="10" fontId="0" fillId="0" borderId="0" xfId="0" applyNumberFormat="1" applyAlignment="1">
      <alignment horizontal="left" vertical="center" wrapText="1"/>
    </xf>
    <xf numFmtId="6" fontId="0" fillId="0" borderId="0" xfId="0" applyNumberFormat="1" applyAlignment="1">
      <alignment horizontal="left" vertical="center" wrapText="1"/>
    </xf>
    <xf numFmtId="0" fontId="2" fillId="5" borderId="0" xfId="0" applyFont="1" applyFill="1" applyAlignment="1">
      <alignment horizontal="left"/>
    </xf>
    <xf numFmtId="0" fontId="0" fillId="5" borderId="0" xfId="0" applyFill="1" applyAlignment="1">
      <alignment horizontal="left"/>
    </xf>
    <xf numFmtId="9" fontId="0" fillId="0" borderId="0" xfId="0" applyNumberFormat="1" applyAlignment="1">
      <alignment horizontal="left" vertical="center" wrapText="1"/>
    </xf>
    <xf numFmtId="3" fontId="0" fillId="0" borderId="0" xfId="0" applyNumberFormat="1" applyAlignment="1">
      <alignment horizontal="left" vertical="center" wrapText="1"/>
    </xf>
    <xf numFmtId="0" fontId="0" fillId="0" borderId="0" xfId="2" applyNumberFormat="1" applyFont="1" applyAlignment="1">
      <alignment horizontal="left" vertical="center" wrapText="1"/>
    </xf>
    <xf numFmtId="10" fontId="0" fillId="0" borderId="0" xfId="0" applyNumberFormat="1" applyAlignment="1">
      <alignment horizontal="left"/>
    </xf>
    <xf numFmtId="0" fontId="2" fillId="3" borderId="1" xfId="0" applyFont="1" applyFill="1" applyBorder="1" applyAlignment="1">
      <alignment horizontal="left" vertical="center" wrapText="1"/>
    </xf>
    <xf numFmtId="9" fontId="0" fillId="0" borderId="0" xfId="1" applyFont="1" applyAlignment="1">
      <alignment horizontal="left" vertical="center" wrapText="1"/>
    </xf>
    <xf numFmtId="2" fontId="0" fillId="0" borderId="0" xfId="1" applyNumberFormat="1" applyFont="1" applyAlignment="1">
      <alignment horizontal="left" vertical="center" wrapText="1"/>
    </xf>
    <xf numFmtId="0" fontId="2" fillId="4" borderId="0" xfId="0" applyFont="1" applyFill="1"/>
    <xf numFmtId="0" fontId="2" fillId="6" borderId="0" xfId="0" applyFont="1" applyFill="1"/>
    <xf numFmtId="9" fontId="0" fillId="0" borderId="0" xfId="1" applyFont="1"/>
    <xf numFmtId="3" fontId="0" fillId="0" borderId="0" xfId="0" applyNumberFormat="1"/>
    <xf numFmtId="3" fontId="0" fillId="0" borderId="0" xfId="0" applyNumberFormat="1" applyAlignment="1">
      <alignment horizontal="center"/>
    </xf>
    <xf numFmtId="10" fontId="0" fillId="3" borderId="1" xfId="0" applyNumberFormat="1" applyFill="1" applyBorder="1"/>
    <xf numFmtId="9" fontId="0" fillId="0" borderId="0" xfId="1" applyFont="1" applyAlignment="1">
      <alignment horizontal="left"/>
    </xf>
    <xf numFmtId="10" fontId="0" fillId="0" borderId="0" xfId="1" applyNumberFormat="1" applyFont="1" applyAlignment="1">
      <alignment horizontal="left"/>
    </xf>
    <xf numFmtId="43" fontId="0" fillId="0" borderId="0" xfId="2" applyFont="1"/>
    <xf numFmtId="9" fontId="0" fillId="3" borderId="1" xfId="1" applyFont="1" applyFill="1" applyBorder="1"/>
    <xf numFmtId="0" fontId="2" fillId="5" borderId="0" xfId="0" applyFont="1" applyFill="1"/>
    <xf numFmtId="0" fontId="3" fillId="3" borderId="1" xfId="0" applyFont="1" applyFill="1" applyBorder="1" applyAlignment="1">
      <alignment horizontal="center"/>
    </xf>
    <xf numFmtId="0" fontId="3" fillId="0" borderId="0" xfId="0" applyFont="1" applyAlignment="1">
      <alignment horizontal="center"/>
    </xf>
    <xf numFmtId="0" fontId="0" fillId="7" borderId="0" xfId="0" applyFill="1"/>
    <xf numFmtId="10" fontId="0" fillId="0" borderId="0" xfId="0" applyNumberFormat="1"/>
    <xf numFmtId="6"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10" fontId="0" fillId="0" borderId="0" xfId="0" applyNumberFormat="1" applyAlignment="1">
      <alignment vertical="center" wrapText="1"/>
    </xf>
    <xf numFmtId="0" fontId="0" fillId="2" borderId="0" xfId="0" applyFill="1"/>
    <xf numFmtId="0" fontId="2" fillId="2" borderId="0" xfId="0" applyFont="1" applyFill="1" applyAlignment="1">
      <alignment horizontal="center" vertical="center" wrapText="1"/>
    </xf>
    <xf numFmtId="164" fontId="0" fillId="2" borderId="0" xfId="0" applyNumberFormat="1" applyFill="1" applyAlignment="1">
      <alignment horizontal="left"/>
    </xf>
    <xf numFmtId="164" fontId="2" fillId="0" borderId="0" xfId="0" applyNumberFormat="1" applyFont="1" applyAlignment="1">
      <alignment horizontal="left" vertical="center" wrapText="1"/>
    </xf>
    <xf numFmtId="164" fontId="0" fillId="0" borderId="0" xfId="0" applyNumberFormat="1" applyAlignment="1">
      <alignment horizontal="left" vertical="center" wrapText="1"/>
    </xf>
    <xf numFmtId="164" fontId="0" fillId="0" borderId="0" xfId="0" applyNumberFormat="1" applyAlignment="1">
      <alignment horizontal="left"/>
    </xf>
    <xf numFmtId="164" fontId="0" fillId="0" borderId="0" xfId="2" applyNumberFormat="1" applyFont="1" applyAlignment="1">
      <alignment horizontal="left" vertical="center" wrapText="1"/>
    </xf>
    <xf numFmtId="164" fontId="0" fillId="5" borderId="0" xfId="0" applyNumberFormat="1" applyFill="1" applyAlignment="1">
      <alignment horizontal="left"/>
    </xf>
    <xf numFmtId="164" fontId="0" fillId="0" borderId="0" xfId="1" applyNumberFormat="1" applyFont="1" applyAlignment="1">
      <alignment horizontal="left"/>
    </xf>
    <xf numFmtId="164" fontId="0" fillId="2" borderId="0" xfId="0" applyNumberFormat="1" applyFill="1"/>
    <xf numFmtId="164" fontId="2" fillId="0" borderId="0" xfId="0" applyNumberFormat="1" applyFont="1" applyAlignment="1">
      <alignment horizontal="center" vertical="center" wrapText="1"/>
    </xf>
    <xf numFmtId="164" fontId="0" fillId="0" borderId="0" xfId="0" applyNumberFormat="1" applyAlignment="1">
      <alignment vertical="center" wrapText="1"/>
    </xf>
    <xf numFmtId="164" fontId="0" fillId="0" borderId="0" xfId="0" applyNumberFormat="1"/>
    <xf numFmtId="164" fontId="2" fillId="2" borderId="0" xfId="0" applyNumberFormat="1" applyFont="1" applyFill="1" applyAlignment="1">
      <alignment horizontal="center" vertical="center" wrapText="1"/>
    </xf>
    <xf numFmtId="165" fontId="0" fillId="0" borderId="0" xfId="1" applyNumberFormat="1" applyFont="1"/>
    <xf numFmtId="165" fontId="0" fillId="0" borderId="0" xfId="0" applyNumberFormat="1"/>
    <xf numFmtId="0" fontId="2" fillId="8" borderId="0" xfId="0" applyFont="1" applyFill="1"/>
    <xf numFmtId="0" fontId="0" fillId="0" borderId="0" xfId="0" applyAlignment="1">
      <alignment vertical="top" wrapText="1"/>
    </xf>
    <xf numFmtId="0" fontId="4" fillId="9" borderId="0" xfId="0" applyFont="1" applyFill="1"/>
    <xf numFmtId="0" fontId="2" fillId="9" borderId="0" xfId="0" applyFont="1" applyFill="1"/>
    <xf numFmtId="0" fontId="2" fillId="9" borderId="0" xfId="0" applyFont="1" applyFill="1" applyAlignment="1">
      <alignment horizontal="center"/>
    </xf>
    <xf numFmtId="165" fontId="0" fillId="0" borderId="0" xfId="0" applyNumberFormat="1" applyAlignment="1">
      <alignment horizontal="center"/>
    </xf>
    <xf numFmtId="165" fontId="0" fillId="0" borderId="0" xfId="0" applyNumberFormat="1" applyAlignment="1">
      <alignment horizontal="center" vertical="center" wrapText="1"/>
    </xf>
    <xf numFmtId="9" fontId="0" fillId="0" borderId="0" xfId="1" applyFont="1" applyAlignment="1">
      <alignment horizontal="center"/>
    </xf>
    <xf numFmtId="8" fontId="0" fillId="0" borderId="0" xfId="0" applyNumberFormat="1" applyAlignment="1">
      <alignment horizontal="center"/>
    </xf>
    <xf numFmtId="10" fontId="0" fillId="0" borderId="0" xfId="0" applyNumberFormat="1" applyAlignment="1">
      <alignment horizontal="center"/>
    </xf>
    <xf numFmtId="165" fontId="0" fillId="0" borderId="0" xfId="1" applyNumberFormat="1" applyFont="1" applyAlignment="1">
      <alignment horizontal="center"/>
    </xf>
    <xf numFmtId="9" fontId="0" fillId="0" borderId="0" xfId="0" applyNumberFormat="1" applyAlignment="1">
      <alignment horizontal="center"/>
    </xf>
    <xf numFmtId="0" fontId="0" fillId="0" borderId="0" xfId="0" applyAlignment="1">
      <alignment horizontal="left"/>
    </xf>
    <xf numFmtId="9" fontId="0" fillId="0" borderId="0" xfId="1" applyFont="1" applyBorder="1" applyAlignment="1">
      <alignment horizontal="center"/>
    </xf>
    <xf numFmtId="10" fontId="0" fillId="0" borderId="0" xfId="1" applyNumberFormat="1" applyFont="1" applyBorder="1" applyAlignment="1">
      <alignment horizontal="center"/>
    </xf>
    <xf numFmtId="0" fontId="0" fillId="0" borderId="0" xfId="0" applyAlignment="1">
      <alignment wrapText="1"/>
    </xf>
    <xf numFmtId="0" fontId="5" fillId="4" borderId="0" xfId="0" applyFont="1" applyFill="1"/>
    <xf numFmtId="0" fontId="4" fillId="4" borderId="0" xfId="0" applyFont="1" applyFill="1"/>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161D-E5B5-4D8D-A48F-92616D526315}">
  <sheetPr>
    <tabColor rgb="FFFFFF00"/>
  </sheetPr>
  <dimension ref="A1:E99"/>
  <sheetViews>
    <sheetView tabSelected="1" topLeftCell="A82" workbookViewId="0">
      <selection activeCell="H106" sqref="H106"/>
    </sheetView>
  </sheetViews>
  <sheetFormatPr defaultRowHeight="15"/>
  <cols>
    <col min="1" max="1" width="37" style="4" bestFit="1" customWidth="1"/>
    <col min="2" max="2" width="10" style="4" bestFit="1" customWidth="1"/>
    <col min="3" max="3" width="12.140625" style="52" bestFit="1" customWidth="1"/>
    <col min="4" max="4" width="11.5703125" style="4" bestFit="1" customWidth="1"/>
    <col min="5" max="5" width="12.140625" style="4" bestFit="1" customWidth="1"/>
    <col min="7" max="7" width="9.140625" customWidth="1"/>
  </cols>
  <sheetData>
    <row r="1" spans="1:5" ht="15.75" customHeight="1">
      <c r="A1" s="13" t="s">
        <v>18</v>
      </c>
      <c r="B1" s="14"/>
      <c r="C1" s="49"/>
      <c r="D1" s="14"/>
      <c r="E1" s="14"/>
    </row>
    <row r="2" spans="1:5" ht="15.75" customHeight="1">
      <c r="A2" s="5" t="s">
        <v>6</v>
      </c>
      <c r="B2" s="5">
        <v>2020</v>
      </c>
      <c r="C2" s="50">
        <v>2021</v>
      </c>
      <c r="D2" s="5">
        <v>2022</v>
      </c>
      <c r="E2" s="5"/>
    </row>
    <row r="3" spans="1:5" ht="15.75" customHeight="1">
      <c r="A3" s="15" t="s">
        <v>19</v>
      </c>
      <c r="B3" s="6">
        <v>267.7</v>
      </c>
      <c r="C3" s="51">
        <v>301.10000000000002</v>
      </c>
      <c r="D3" s="6">
        <v>299.60000000000002</v>
      </c>
      <c r="E3" s="6"/>
    </row>
    <row r="4" spans="1:5" ht="15.75" customHeight="1">
      <c r="A4" s="15" t="s">
        <v>20</v>
      </c>
      <c r="B4" s="6">
        <v>107.9</v>
      </c>
      <c r="C4" s="51">
        <v>142.69999999999999</v>
      </c>
      <c r="D4" s="6">
        <v>181.3</v>
      </c>
      <c r="E4" s="6"/>
    </row>
    <row r="5" spans="1:5" ht="15.75" customHeight="1">
      <c r="A5" s="15" t="s">
        <v>21</v>
      </c>
      <c r="B5" s="6">
        <v>375.6</v>
      </c>
      <c r="C5" s="51">
        <v>443.8</v>
      </c>
      <c r="D5" s="6">
        <v>480.9</v>
      </c>
      <c r="E5" s="6"/>
    </row>
    <row r="6" spans="1:5" ht="15.75" customHeight="1"/>
    <row r="7" spans="1:5" ht="15.75" customHeight="1">
      <c r="A7" s="13" t="s">
        <v>22</v>
      </c>
      <c r="B7" s="14"/>
      <c r="C7" s="49"/>
      <c r="D7" s="14"/>
      <c r="E7" s="14"/>
    </row>
    <row r="8" spans="1:5" ht="15.75" customHeight="1">
      <c r="A8" s="5" t="s">
        <v>6</v>
      </c>
      <c r="B8" s="5">
        <v>2020</v>
      </c>
      <c r="C8" s="50">
        <v>2021</v>
      </c>
      <c r="D8" s="5">
        <v>2022</v>
      </c>
      <c r="E8" s="5"/>
    </row>
    <row r="9" spans="1:5" ht="15.75" customHeight="1">
      <c r="A9" s="15" t="s">
        <v>23</v>
      </c>
      <c r="B9" s="6">
        <v>83.9</v>
      </c>
      <c r="C9" s="51">
        <v>86.4</v>
      </c>
      <c r="D9" s="6">
        <v>86.3</v>
      </c>
      <c r="E9" s="15"/>
    </row>
    <row r="10" spans="1:5" ht="15.75" customHeight="1">
      <c r="A10" s="15" t="s">
        <v>24</v>
      </c>
      <c r="B10" s="6">
        <v>291.7</v>
      </c>
      <c r="C10" s="51">
        <v>357.4</v>
      </c>
      <c r="D10" s="6">
        <v>394.7</v>
      </c>
      <c r="E10" s="15"/>
    </row>
    <row r="11" spans="1:5" ht="15.75" customHeight="1">
      <c r="A11" s="15" t="s">
        <v>1</v>
      </c>
      <c r="B11" s="16">
        <v>0.77600000000000002</v>
      </c>
      <c r="C11" s="51">
        <v>0.80500000000000005</v>
      </c>
      <c r="D11" s="16">
        <v>0.82</v>
      </c>
      <c r="E11" s="15"/>
    </row>
    <row r="12" spans="1:5" ht="15.75" customHeight="1">
      <c r="A12" s="15" t="s">
        <v>25</v>
      </c>
      <c r="B12" s="6">
        <v>113</v>
      </c>
      <c r="C12" s="51">
        <v>139.30000000000001</v>
      </c>
      <c r="D12" s="6">
        <v>138.1</v>
      </c>
      <c r="E12" s="15"/>
    </row>
    <row r="13" spans="1:5" ht="15.75" customHeight="1">
      <c r="A13" s="15" t="s">
        <v>26</v>
      </c>
      <c r="B13" s="6">
        <v>172.4</v>
      </c>
      <c r="C13" s="51">
        <v>224</v>
      </c>
      <c r="D13" s="6">
        <v>223.8</v>
      </c>
      <c r="E13" s="15"/>
    </row>
    <row r="14" spans="1:5" ht="15.75" customHeight="1">
      <c r="A14" s="15" t="s">
        <v>27</v>
      </c>
      <c r="B14" s="6">
        <v>87.9</v>
      </c>
      <c r="C14" s="51">
        <v>106.7</v>
      </c>
      <c r="D14" s="6">
        <v>107.5</v>
      </c>
      <c r="E14" s="6"/>
    </row>
    <row r="15" spans="1:5" ht="15.75" customHeight="1">
      <c r="A15" s="15" t="s">
        <v>28</v>
      </c>
      <c r="B15" s="17">
        <v>0</v>
      </c>
      <c r="C15" s="51">
        <v>0</v>
      </c>
      <c r="D15" s="6">
        <v>6.6</v>
      </c>
      <c r="E15" s="15"/>
    </row>
    <row r="16" spans="1:5" ht="15.75" customHeight="1">
      <c r="A16" s="15" t="s">
        <v>29</v>
      </c>
      <c r="B16" s="6">
        <v>373.3</v>
      </c>
      <c r="C16" s="51">
        <v>469.9</v>
      </c>
      <c r="D16" s="6">
        <v>476</v>
      </c>
      <c r="E16" s="15"/>
    </row>
    <row r="17" spans="1:5" ht="15.75" customHeight="1">
      <c r="A17" s="15" t="s">
        <v>30</v>
      </c>
      <c r="B17" s="6">
        <v>-81.599999999999994</v>
      </c>
      <c r="C17" s="51">
        <v>-112.6</v>
      </c>
      <c r="D17" s="6">
        <v>-81.3</v>
      </c>
      <c r="E17" s="15"/>
    </row>
    <row r="18" spans="1:5" ht="15.75" customHeight="1">
      <c r="A18" s="15" t="s">
        <v>31</v>
      </c>
      <c r="B18" s="6">
        <v>-91.6</v>
      </c>
      <c r="C18" s="51">
        <v>-112.9</v>
      </c>
      <c r="D18" s="6">
        <v>-89.9</v>
      </c>
      <c r="E18" s="15"/>
    </row>
    <row r="19" spans="1:5" ht="15.75" customHeight="1"/>
    <row r="20" spans="1:5" ht="15.75" customHeight="1">
      <c r="A20" s="13" t="s">
        <v>32</v>
      </c>
      <c r="B20" s="14"/>
      <c r="C20" s="49"/>
      <c r="D20" s="14"/>
      <c r="E20" s="14"/>
    </row>
    <row r="21" spans="1:5" ht="15.75" customHeight="1">
      <c r="A21" s="5" t="s">
        <v>6</v>
      </c>
      <c r="B21" s="5">
        <v>2020</v>
      </c>
      <c r="C21" s="50">
        <v>2021</v>
      </c>
      <c r="D21" s="5">
        <v>2022</v>
      </c>
      <c r="E21" s="5">
        <v>2023</v>
      </c>
    </row>
    <row r="22" spans="1:5" ht="15.75" customHeight="1">
      <c r="A22" s="15" t="s">
        <v>33</v>
      </c>
      <c r="B22" s="22">
        <f>830*1000</f>
        <v>830000</v>
      </c>
      <c r="C22" s="53">
        <f>880*1000</f>
        <v>880000</v>
      </c>
      <c r="D22" s="22">
        <f>887*1000</f>
        <v>887000</v>
      </c>
      <c r="E22" s="15"/>
    </row>
    <row r="23" spans="1:5" ht="15.75" customHeight="1">
      <c r="A23" s="15" t="s">
        <v>73</v>
      </c>
      <c r="B23" s="21">
        <v>8200</v>
      </c>
      <c r="C23" s="51">
        <v>11900</v>
      </c>
      <c r="D23" s="21">
        <v>14500</v>
      </c>
      <c r="E23" s="26">
        <f>D23*(1+$B$87)</f>
        <v>16965</v>
      </c>
    </row>
    <row r="24" spans="1:5" ht="15.75" customHeight="1">
      <c r="A24" s="15" t="s">
        <v>34</v>
      </c>
      <c r="B24" s="6">
        <f>(B5*1000000)/B22</f>
        <v>452.53012048192772</v>
      </c>
      <c r="C24" s="51">
        <f t="shared" ref="C24:D24" si="0">(C5*1000000)/C22</f>
        <v>504.31818181818181</v>
      </c>
      <c r="D24" s="6">
        <f t="shared" si="0"/>
        <v>542.16459977452087</v>
      </c>
      <c r="E24" s="6"/>
    </row>
    <row r="25" spans="1:5" ht="15.75" customHeight="1"/>
    <row r="26" spans="1:5" ht="15.75" customHeight="1">
      <c r="A26" s="18" t="s">
        <v>70</v>
      </c>
      <c r="B26" s="19"/>
      <c r="C26" s="54"/>
      <c r="D26" s="19"/>
      <c r="E26" s="19"/>
    </row>
    <row r="27" spans="1:5" ht="15.75" customHeight="1">
      <c r="A27" s="5" t="s">
        <v>6</v>
      </c>
      <c r="B27" s="5">
        <v>2020</v>
      </c>
      <c r="C27" s="50">
        <v>2021</v>
      </c>
      <c r="D27" s="5">
        <v>2022</v>
      </c>
      <c r="E27" s="5">
        <v>2023</v>
      </c>
    </row>
    <row r="28" spans="1:5" ht="15.75" customHeight="1">
      <c r="A28" s="15" t="s">
        <v>35</v>
      </c>
      <c r="B28" s="21">
        <f>B22-B23</f>
        <v>821800</v>
      </c>
      <c r="C28" s="51">
        <f t="shared" ref="C28:D28" si="1">C22-C23</f>
        <v>868100</v>
      </c>
      <c r="D28" s="21">
        <f t="shared" si="1"/>
        <v>872500</v>
      </c>
      <c r="E28" s="15"/>
    </row>
    <row r="29" spans="1:5" ht="15.75" customHeight="1">
      <c r="A29" s="15" t="s">
        <v>36</v>
      </c>
      <c r="B29" s="6">
        <f>(B3*1000000)/B28</f>
        <v>325.74835726454126</v>
      </c>
      <c r="C29" s="51">
        <f t="shared" ref="C29:D29" si="2">(C3*1000000)/C28</f>
        <v>346.84944130860498</v>
      </c>
      <c r="D29" s="6">
        <f t="shared" si="2"/>
        <v>343.38108882521487</v>
      </c>
      <c r="E29" s="6">
        <f>D29*(1+B88)</f>
        <v>336.5134670487106</v>
      </c>
    </row>
    <row r="30" spans="1:5" ht="15.75" customHeight="1">
      <c r="A30" s="15" t="s">
        <v>37</v>
      </c>
      <c r="B30" s="6">
        <f>(B4*1000000)/B23</f>
        <v>13158.536585365853</v>
      </c>
      <c r="C30" s="51">
        <f t="shared" ref="C30:D30" si="3">(C4*1000000)/C23</f>
        <v>11991.596638655463</v>
      </c>
      <c r="D30" s="6">
        <f t="shared" si="3"/>
        <v>12503.448275862069</v>
      </c>
      <c r="E30" s="6">
        <f>D30*(1+B89)</f>
        <v>12753.51724137931</v>
      </c>
    </row>
    <row r="31" spans="1:5" ht="15.75" customHeight="1"/>
    <row r="32" spans="1:5" ht="15.75" customHeight="1">
      <c r="A32" s="18" t="s">
        <v>38</v>
      </c>
      <c r="B32" s="19"/>
      <c r="C32" s="54"/>
      <c r="D32" s="19"/>
      <c r="E32" s="19"/>
    </row>
    <row r="33" spans="1:5" ht="15.75" customHeight="1">
      <c r="A33" s="5" t="s">
        <v>6</v>
      </c>
      <c r="B33" s="5">
        <v>2020</v>
      </c>
      <c r="C33" s="50">
        <v>2021</v>
      </c>
      <c r="D33" s="5">
        <v>2022</v>
      </c>
      <c r="E33" s="5"/>
    </row>
    <row r="34" spans="1:5" ht="15.75" customHeight="1">
      <c r="A34" s="15" t="s">
        <v>39</v>
      </c>
      <c r="B34" s="16">
        <v>0.223</v>
      </c>
      <c r="C34" s="51">
        <v>0.19500000000000001</v>
      </c>
      <c r="D34" s="16">
        <v>0.17899999999999999</v>
      </c>
      <c r="E34" s="15"/>
    </row>
    <row r="35" spans="1:5" ht="15.75" customHeight="1">
      <c r="A35" s="15" t="s">
        <v>40</v>
      </c>
      <c r="B35" s="16">
        <v>0.30099999999999999</v>
      </c>
      <c r="C35" s="51">
        <v>0.314</v>
      </c>
      <c r="D35" s="16">
        <v>0.28699999999999998</v>
      </c>
      <c r="E35" s="15"/>
    </row>
    <row r="36" spans="1:5" ht="15.75" customHeight="1">
      <c r="A36" s="15" t="s">
        <v>41</v>
      </c>
      <c r="B36" s="16">
        <v>0.45900000000000002</v>
      </c>
      <c r="C36" s="51">
        <v>0.505</v>
      </c>
      <c r="D36" s="16">
        <v>0.46500000000000002</v>
      </c>
      <c r="E36" s="15"/>
    </row>
    <row r="37" spans="1:5" ht="15.75" customHeight="1">
      <c r="A37" s="15" t="s">
        <v>42</v>
      </c>
      <c r="B37" s="16">
        <v>0.23400000000000001</v>
      </c>
      <c r="C37" s="51">
        <v>0.24</v>
      </c>
      <c r="D37" s="16">
        <v>0.224</v>
      </c>
      <c r="E37" s="15"/>
    </row>
    <row r="38" spans="1:5" ht="15.75" customHeight="1"/>
    <row r="39" spans="1:5" ht="15.75" customHeight="1">
      <c r="A39" s="18" t="s">
        <v>43</v>
      </c>
      <c r="B39" s="19"/>
      <c r="C39" s="54"/>
      <c r="D39" s="19"/>
      <c r="E39" s="19"/>
    </row>
    <row r="40" spans="1:5" ht="15.75" customHeight="1">
      <c r="A40" s="5" t="s">
        <v>6</v>
      </c>
      <c r="B40" s="5">
        <v>2021</v>
      </c>
      <c r="C40" s="50">
        <v>2022</v>
      </c>
      <c r="D40" s="5"/>
    </row>
    <row r="41" spans="1:5" ht="15.75" customHeight="1">
      <c r="A41" s="15" t="s">
        <v>44</v>
      </c>
      <c r="B41" s="16">
        <v>0.125</v>
      </c>
      <c r="C41" s="51">
        <v>-5.0000000000000001E-3</v>
      </c>
      <c r="D41" s="25"/>
    </row>
    <row r="42" spans="1:5" ht="15.75" customHeight="1">
      <c r="A42" s="15" t="s">
        <v>45</v>
      </c>
      <c r="B42" s="16">
        <v>0.32300000000000001</v>
      </c>
      <c r="C42" s="51">
        <v>0.27100000000000002</v>
      </c>
      <c r="D42" s="25"/>
    </row>
    <row r="43" spans="1:5" ht="15.75" customHeight="1">
      <c r="A43" s="15" t="s">
        <v>46</v>
      </c>
      <c r="B43" s="16">
        <v>0.182</v>
      </c>
      <c r="C43" s="51">
        <v>8.4000000000000005E-2</v>
      </c>
      <c r="D43" s="25"/>
    </row>
    <row r="44" spans="1:5" ht="15.75" customHeight="1">
      <c r="A44" s="15" t="s">
        <v>74</v>
      </c>
      <c r="B44" s="16">
        <v>0.45100000000000001</v>
      </c>
      <c r="C44" s="51">
        <v>0.218</v>
      </c>
      <c r="D44" s="25"/>
    </row>
    <row r="45" spans="1:5" ht="15.75" customHeight="1">
      <c r="A45" s="15" t="s">
        <v>48</v>
      </c>
      <c r="B45" s="16">
        <v>6.4000000000000001E-2</v>
      </c>
      <c r="C45" s="51">
        <v>-8.9999999999999993E-3</v>
      </c>
      <c r="D45" s="25"/>
    </row>
    <row r="46" spans="1:5" ht="15.75" customHeight="1">
      <c r="A46" s="15" t="s">
        <v>49</v>
      </c>
      <c r="B46" s="16">
        <v>-8.8999999999999996E-2</v>
      </c>
      <c r="C46" s="51">
        <v>4.2999999999999997E-2</v>
      </c>
      <c r="D46" s="15"/>
    </row>
    <row r="47" spans="1:5">
      <c r="A47" s="15" t="s">
        <v>50</v>
      </c>
      <c r="B47" s="15" t="s">
        <v>51</v>
      </c>
      <c r="C47" s="51" t="s">
        <v>52</v>
      </c>
      <c r="D47" s="15"/>
    </row>
    <row r="48" spans="1:5">
      <c r="A48" s="15" t="s">
        <v>53</v>
      </c>
      <c r="B48" s="15" t="s">
        <v>54</v>
      </c>
      <c r="C48" s="51" t="s">
        <v>55</v>
      </c>
      <c r="D48" s="15"/>
    </row>
    <row r="49" spans="1:5">
      <c r="A49" s="15" t="s">
        <v>56</v>
      </c>
      <c r="B49" s="15" t="s">
        <v>57</v>
      </c>
      <c r="C49" s="51" t="s">
        <v>58</v>
      </c>
      <c r="D49" s="15"/>
    </row>
    <row r="50" spans="1:5">
      <c r="A50" s="15" t="s">
        <v>59</v>
      </c>
      <c r="B50" s="15" t="s">
        <v>60</v>
      </c>
      <c r="C50" s="51" t="s">
        <v>61</v>
      </c>
      <c r="D50" s="15"/>
    </row>
    <row r="51" spans="1:5">
      <c r="A51" s="4" t="s">
        <v>88</v>
      </c>
      <c r="B51" s="34">
        <f>(C28-B28)/B28</f>
        <v>5.6339742029690922E-2</v>
      </c>
      <c r="C51" s="55">
        <f>(D28-C28)/C28</f>
        <v>5.0685404907268748E-3</v>
      </c>
    </row>
    <row r="53" spans="1:5">
      <c r="A53" s="18" t="s">
        <v>71</v>
      </c>
      <c r="B53" s="19"/>
      <c r="C53" s="54"/>
      <c r="D53" s="19"/>
    </row>
    <row r="54" spans="1:5">
      <c r="A54" s="7" t="s">
        <v>62</v>
      </c>
    </row>
    <row r="55" spans="1:5">
      <c r="A55" s="5" t="s">
        <v>0</v>
      </c>
      <c r="B55" s="5" t="s">
        <v>4</v>
      </c>
      <c r="C55" s="50" t="s">
        <v>2</v>
      </c>
      <c r="D55" s="5" t="s">
        <v>3</v>
      </c>
      <c r="E55" s="5"/>
    </row>
    <row r="56" spans="1:5">
      <c r="A56" s="15" t="s">
        <v>44</v>
      </c>
      <c r="B56" s="20">
        <v>-0.06</v>
      </c>
      <c r="C56" s="51">
        <v>-0.03</v>
      </c>
      <c r="D56" s="20">
        <v>0</v>
      </c>
      <c r="E56" s="15"/>
    </row>
    <row r="57" spans="1:5">
      <c r="A57" s="15" t="s">
        <v>47</v>
      </c>
      <c r="B57" s="20">
        <v>0.17</v>
      </c>
      <c r="C57" s="51">
        <v>0.22</v>
      </c>
      <c r="D57" s="20">
        <v>0.27</v>
      </c>
      <c r="E57" s="15"/>
    </row>
    <row r="58" spans="1:5">
      <c r="A58" s="15" t="s">
        <v>48</v>
      </c>
      <c r="B58" s="20">
        <v>-0.02</v>
      </c>
      <c r="C58" s="51">
        <v>0.01</v>
      </c>
      <c r="D58" s="20">
        <v>0.03</v>
      </c>
      <c r="E58" s="15"/>
    </row>
    <row r="59" spans="1:5">
      <c r="A59" s="15" t="s">
        <v>49</v>
      </c>
      <c r="B59" s="20">
        <v>0.02</v>
      </c>
      <c r="C59" s="51">
        <v>0.04</v>
      </c>
      <c r="D59" s="20">
        <v>0.06</v>
      </c>
      <c r="E59" s="15"/>
    </row>
    <row r="60" spans="1:5">
      <c r="A60" s="15" t="s">
        <v>63</v>
      </c>
      <c r="B60" s="20">
        <v>0.15</v>
      </c>
      <c r="C60" s="51">
        <v>0.1</v>
      </c>
      <c r="D60" s="20">
        <v>0.06</v>
      </c>
      <c r="E60" s="15"/>
    </row>
    <row r="61" spans="1:5">
      <c r="A61" s="4" t="s">
        <v>89</v>
      </c>
      <c r="B61" s="8">
        <v>-0.06</v>
      </c>
      <c r="C61" s="55">
        <v>-0.03</v>
      </c>
      <c r="D61" s="8">
        <v>0</v>
      </c>
    </row>
    <row r="62" spans="1:5">
      <c r="A62" s="15"/>
      <c r="B62" s="8"/>
      <c r="C62" s="55"/>
      <c r="D62" s="8"/>
    </row>
    <row r="63" spans="1:5">
      <c r="A63" s="3" t="s">
        <v>105</v>
      </c>
      <c r="B63" s="47"/>
      <c r="C63" s="56"/>
      <c r="D63" s="47"/>
      <c r="E63" s="47"/>
    </row>
    <row r="64" spans="1:5">
      <c r="A64" s="43" t="s">
        <v>0</v>
      </c>
      <c r="B64" s="43" t="s">
        <v>7</v>
      </c>
      <c r="C64" s="57" t="s">
        <v>12</v>
      </c>
      <c r="D64" s="43" t="s">
        <v>11</v>
      </c>
      <c r="E64" s="43" t="s">
        <v>13</v>
      </c>
    </row>
    <row r="65" spans="1:5">
      <c r="A65" s="44" t="s">
        <v>1</v>
      </c>
      <c r="B65" s="45">
        <v>0.83</v>
      </c>
      <c r="C65" s="58">
        <v>0.83499999999999996</v>
      </c>
      <c r="D65" s="45">
        <v>0.84</v>
      </c>
      <c r="E65" s="46">
        <v>0.84499999999999997</v>
      </c>
    </row>
    <row r="66" spans="1:5">
      <c r="A66" s="44" t="s">
        <v>64</v>
      </c>
      <c r="B66" s="45">
        <v>0.28000000000000003</v>
      </c>
      <c r="C66" s="58">
        <v>0.27</v>
      </c>
      <c r="D66" s="45">
        <v>0.26</v>
      </c>
      <c r="E66" s="45">
        <v>0.25</v>
      </c>
    </row>
    <row r="67" spans="1:5">
      <c r="A67" s="44" t="s">
        <v>65</v>
      </c>
      <c r="B67" s="45">
        <v>0.45</v>
      </c>
      <c r="C67" s="58">
        <v>0.43</v>
      </c>
      <c r="D67" s="45">
        <v>0.41</v>
      </c>
      <c r="E67" s="45">
        <v>0.39</v>
      </c>
    </row>
    <row r="68" spans="1:5">
      <c r="A68" s="44" t="s">
        <v>66</v>
      </c>
      <c r="B68" s="45">
        <v>0.22</v>
      </c>
      <c r="C68" s="58">
        <v>0.21</v>
      </c>
      <c r="D68" s="45">
        <v>0.2</v>
      </c>
      <c r="E68" s="45">
        <v>0.19</v>
      </c>
    </row>
    <row r="69" spans="1:5">
      <c r="A69"/>
      <c r="B69"/>
      <c r="C69" s="59"/>
      <c r="D69"/>
      <c r="E69"/>
    </row>
    <row r="70" spans="1:5">
      <c r="A70" s="3" t="s">
        <v>103</v>
      </c>
      <c r="B70" s="47"/>
      <c r="C70" s="56"/>
      <c r="D70" s="47"/>
      <c r="E70" s="47"/>
    </row>
    <row r="71" spans="1:5">
      <c r="A71" s="43" t="s">
        <v>0</v>
      </c>
      <c r="B71" s="43" t="s">
        <v>7</v>
      </c>
      <c r="C71" s="57" t="s">
        <v>12</v>
      </c>
      <c r="D71" s="43" t="s">
        <v>11</v>
      </c>
      <c r="E71" s="43" t="s">
        <v>13</v>
      </c>
    </row>
    <row r="72" spans="1:5">
      <c r="A72" s="44" t="s">
        <v>1</v>
      </c>
      <c r="B72" s="45">
        <v>0.84</v>
      </c>
      <c r="C72" s="58">
        <v>0.84499999999999997</v>
      </c>
      <c r="D72" s="45">
        <v>0.85</v>
      </c>
      <c r="E72" s="46">
        <v>0.85499999999999998</v>
      </c>
    </row>
    <row r="73" spans="1:5">
      <c r="A73" s="44" t="s">
        <v>64</v>
      </c>
      <c r="B73" s="45">
        <v>0.27</v>
      </c>
      <c r="C73" s="58">
        <v>0.26</v>
      </c>
      <c r="D73" s="45">
        <v>0.25</v>
      </c>
      <c r="E73" s="45">
        <v>0.24</v>
      </c>
    </row>
    <row r="74" spans="1:5">
      <c r="A74" s="44" t="s">
        <v>65</v>
      </c>
      <c r="B74" s="45">
        <v>0.42</v>
      </c>
      <c r="C74" s="58">
        <v>0.4</v>
      </c>
      <c r="D74" s="45">
        <v>0.38</v>
      </c>
      <c r="E74" s="45">
        <v>0.36</v>
      </c>
    </row>
    <row r="75" spans="1:5">
      <c r="A75" s="44" t="s">
        <v>66</v>
      </c>
      <c r="B75" s="45">
        <v>0.2</v>
      </c>
      <c r="C75" s="58">
        <v>0.19</v>
      </c>
      <c r="D75" s="45">
        <v>0.18</v>
      </c>
      <c r="E75" s="45">
        <v>0.17</v>
      </c>
    </row>
    <row r="76" spans="1:5">
      <c r="A76"/>
      <c r="B76"/>
      <c r="C76" s="59"/>
      <c r="D76"/>
      <c r="E76"/>
    </row>
    <row r="77" spans="1:5">
      <c r="A77" s="3" t="s">
        <v>104</v>
      </c>
      <c r="B77" s="47"/>
      <c r="C77" s="56"/>
      <c r="D77" s="47"/>
      <c r="E77" s="47"/>
    </row>
    <row r="78" spans="1:5">
      <c r="A78" s="43" t="s">
        <v>0</v>
      </c>
      <c r="B78" s="43" t="s">
        <v>7</v>
      </c>
      <c r="C78" s="57" t="s">
        <v>12</v>
      </c>
      <c r="D78" s="43" t="s">
        <v>11</v>
      </c>
      <c r="E78" s="43" t="s">
        <v>13</v>
      </c>
    </row>
    <row r="79" spans="1:5">
      <c r="A79" s="44" t="s">
        <v>1</v>
      </c>
      <c r="B79" s="45">
        <v>0.8</v>
      </c>
      <c r="C79" s="58">
        <v>0.79500000000000004</v>
      </c>
      <c r="D79" s="45">
        <v>0.79</v>
      </c>
      <c r="E79" s="46">
        <v>0.78500000000000003</v>
      </c>
    </row>
    <row r="80" spans="1:5">
      <c r="A80" s="44" t="s">
        <v>64</v>
      </c>
      <c r="B80" s="45">
        <v>0.3</v>
      </c>
      <c r="C80" s="58">
        <v>0.31</v>
      </c>
      <c r="D80" s="45">
        <v>0.32</v>
      </c>
      <c r="E80" s="45">
        <v>0.33</v>
      </c>
    </row>
    <row r="81" spans="1:5">
      <c r="A81" s="44" t="s">
        <v>65</v>
      </c>
      <c r="B81" s="45">
        <v>0.48</v>
      </c>
      <c r="C81" s="58">
        <v>0.49</v>
      </c>
      <c r="D81" s="45">
        <v>0.5</v>
      </c>
      <c r="E81" s="45">
        <v>0.51</v>
      </c>
    </row>
    <row r="82" spans="1:5">
      <c r="A82" s="44" t="s">
        <v>66</v>
      </c>
      <c r="B82" s="45">
        <v>0.23</v>
      </c>
      <c r="C82" s="58">
        <v>0.23499999999999999</v>
      </c>
      <c r="D82" s="45">
        <v>0.24</v>
      </c>
      <c r="E82" s="46">
        <v>0.245</v>
      </c>
    </row>
    <row r="83" spans="1:5">
      <c r="A83" s="44"/>
      <c r="B83" s="45"/>
      <c r="C83" s="58"/>
      <c r="D83" s="45"/>
      <c r="E83" s="46"/>
    </row>
    <row r="84" spans="1:5">
      <c r="A84" s="18" t="s">
        <v>67</v>
      </c>
      <c r="B84" s="19"/>
      <c r="C84" s="54"/>
      <c r="D84" s="19"/>
      <c r="E84" s="19"/>
    </row>
    <row r="85" spans="1:5" ht="15.75" thickBot="1">
      <c r="A85" s="5" t="s">
        <v>68</v>
      </c>
      <c r="B85" s="5" t="s">
        <v>69</v>
      </c>
    </row>
    <row r="86" spans="1:5" ht="15.75" thickBot="1">
      <c r="A86" s="15" t="s">
        <v>72</v>
      </c>
      <c r="B86" s="24" t="s">
        <v>4</v>
      </c>
    </row>
    <row r="87" spans="1:5">
      <c r="A87" s="15" t="s">
        <v>74</v>
      </c>
      <c r="B87" s="23">
        <f>IF($B$86="Base",C57,IF($B$86="Upside",D57,B57))</f>
        <v>0.17</v>
      </c>
    </row>
    <row r="88" spans="1:5">
      <c r="A88" s="15" t="s">
        <v>48</v>
      </c>
      <c r="B88" s="23">
        <f>IF($B$86="Base",C58,IF($B$86="Upside",D58,B58))</f>
        <v>-0.02</v>
      </c>
    </row>
    <row r="89" spans="1:5">
      <c r="A89" s="15" t="s">
        <v>49</v>
      </c>
      <c r="B89" s="23">
        <f>IF($B$86="Base",C59,IF($B$86="Upside",D59,B59))</f>
        <v>0.02</v>
      </c>
    </row>
    <row r="90" spans="1:5">
      <c r="A90" s="15" t="s">
        <v>63</v>
      </c>
      <c r="B90" s="23">
        <f>IF($B$86="Base",C60,IF($B$86="Upside",D60,B60))</f>
        <v>0.15</v>
      </c>
    </row>
    <row r="91" spans="1:5" ht="15.75" customHeight="1">
      <c r="A91" s="4" t="s">
        <v>89</v>
      </c>
      <c r="B91" s="33">
        <f>IF($B$86="Base",C61,IF($B$86="Upside",D61,B61))</f>
        <v>-0.06</v>
      </c>
    </row>
    <row r="92" spans="1:5" ht="15.75" customHeight="1">
      <c r="B92" s="33"/>
    </row>
    <row r="93" spans="1:5">
      <c r="A93" s="48" t="s">
        <v>106</v>
      </c>
      <c r="B93" s="48" t="s">
        <v>7</v>
      </c>
      <c r="C93" s="60" t="s">
        <v>12</v>
      </c>
      <c r="D93" s="48" t="s">
        <v>11</v>
      </c>
      <c r="E93" s="48" t="s">
        <v>13</v>
      </c>
    </row>
    <row r="94" spans="1:5">
      <c r="A94" s="44" t="s">
        <v>1</v>
      </c>
      <c r="B94" s="33">
        <f>IF($B$86="Base", B65, IF($B$86="Upside", B72, B79))</f>
        <v>0.8</v>
      </c>
      <c r="C94" s="33">
        <f t="shared" ref="C94:E94" si="4">IF($B$86="Base", C65, IF($B$86="Upside", C72, C79))</f>
        <v>0.79500000000000004</v>
      </c>
      <c r="D94" s="33">
        <f t="shared" si="4"/>
        <v>0.79</v>
      </c>
      <c r="E94" s="33">
        <f t="shared" si="4"/>
        <v>0.78500000000000003</v>
      </c>
    </row>
    <row r="95" spans="1:5">
      <c r="A95" s="44" t="s">
        <v>64</v>
      </c>
      <c r="B95" s="33">
        <f t="shared" ref="B95:E97" si="5">IF($B$86="Base", B66, IF($B$86="Upside", B73, B80))</f>
        <v>0.3</v>
      </c>
      <c r="C95" s="33">
        <f t="shared" si="5"/>
        <v>0.31</v>
      </c>
      <c r="D95" s="33">
        <f t="shared" si="5"/>
        <v>0.32</v>
      </c>
      <c r="E95" s="33">
        <f t="shared" si="5"/>
        <v>0.33</v>
      </c>
    </row>
    <row r="96" spans="1:5">
      <c r="A96" s="44" t="s">
        <v>65</v>
      </c>
      <c r="B96" s="33">
        <f t="shared" si="5"/>
        <v>0.48</v>
      </c>
      <c r="C96" s="33">
        <f t="shared" si="5"/>
        <v>0.49</v>
      </c>
      <c r="D96" s="33">
        <f t="shared" si="5"/>
        <v>0.5</v>
      </c>
      <c r="E96" s="33">
        <f t="shared" si="5"/>
        <v>0.51</v>
      </c>
    </row>
    <row r="97" spans="1:5">
      <c r="A97" s="44" t="s">
        <v>66</v>
      </c>
      <c r="B97" s="33">
        <f t="shared" si="5"/>
        <v>0.23</v>
      </c>
      <c r="C97" s="33">
        <f t="shared" si="5"/>
        <v>0.23499999999999999</v>
      </c>
      <c r="D97" s="33">
        <f t="shared" si="5"/>
        <v>0.24</v>
      </c>
      <c r="E97" s="33">
        <f t="shared" si="5"/>
        <v>0.245</v>
      </c>
    </row>
    <row r="98" spans="1:5">
      <c r="B98" s="33"/>
      <c r="C98" s="33"/>
      <c r="D98" s="33"/>
      <c r="E98" s="33"/>
    </row>
    <row r="99" spans="1:5">
      <c r="B99" s="33"/>
      <c r="C99" s="33"/>
      <c r="D99" s="33"/>
      <c r="E99" s="33"/>
    </row>
  </sheetData>
  <dataValidations count="1">
    <dataValidation type="list" allowBlank="1" showInputMessage="1" showErrorMessage="1" sqref="B86" xr:uid="{E8C9F51A-2938-410D-9A05-371C55CE423F}">
      <formula1>"Base,Upside,Downside"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9D8D6-97A8-4CF0-A3F4-F60D25D0A4D8}">
  <sheetPr>
    <tabColor theme="3" tint="0.499984740745262"/>
  </sheetPr>
  <dimension ref="A1:H20"/>
  <sheetViews>
    <sheetView workbookViewId="0">
      <selection activeCell="D31" sqref="D31"/>
    </sheetView>
  </sheetViews>
  <sheetFormatPr defaultRowHeight="15"/>
  <cols>
    <col min="1" max="1" width="29" bestFit="1" customWidth="1"/>
    <col min="2" max="8" width="10.140625" bestFit="1" customWidth="1"/>
  </cols>
  <sheetData>
    <row r="1" spans="1:8">
      <c r="A1" s="3" t="s">
        <v>75</v>
      </c>
    </row>
    <row r="4" spans="1:8">
      <c r="A4" s="28" t="s">
        <v>76</v>
      </c>
      <c r="B4" s="28" t="s">
        <v>16</v>
      </c>
      <c r="C4" s="28" t="s">
        <v>9</v>
      </c>
      <c r="D4" s="28" t="s">
        <v>10</v>
      </c>
      <c r="E4" s="28" t="s">
        <v>7</v>
      </c>
      <c r="F4" s="28" t="s">
        <v>12</v>
      </c>
      <c r="G4" s="28" t="s">
        <v>11</v>
      </c>
      <c r="H4" s="28" t="s">
        <v>13</v>
      </c>
    </row>
    <row r="5" spans="1:8">
      <c r="A5" t="s">
        <v>85</v>
      </c>
      <c r="B5" s="1">
        <f>'Historical &amp; Assumptions'!B4</f>
        <v>107.9</v>
      </c>
      <c r="C5" s="1">
        <f>'Historical &amp; Assumptions'!C4</f>
        <v>142.69999999999999</v>
      </c>
      <c r="D5" s="1">
        <f>'Historical &amp; Assumptions'!D4</f>
        <v>181.3</v>
      </c>
      <c r="E5" s="1">
        <f>(E13*E12)/1000000</f>
        <v>216.36341999999999</v>
      </c>
      <c r="F5" s="1">
        <f t="shared" ref="F5:H5" si="0">(F13*F12)/1000000</f>
        <v>258.20810542800001</v>
      </c>
      <c r="G5" s="1">
        <f t="shared" si="0"/>
        <v>308.14555301777517</v>
      </c>
      <c r="H5" s="1">
        <f t="shared" si="0"/>
        <v>367.74090297141288</v>
      </c>
    </row>
    <row r="6" spans="1:8">
      <c r="A6" t="s">
        <v>14</v>
      </c>
      <c r="B6" s="2" t="s">
        <v>15</v>
      </c>
      <c r="C6" s="12">
        <f>(C5-B5)/B5</f>
        <v>0.3225208526413344</v>
      </c>
      <c r="D6" s="12">
        <f>(D5-C5)/C5</f>
        <v>0.2704975473020324</v>
      </c>
      <c r="E6" s="12">
        <f>(E5-D5)/D5</f>
        <v>0.19339999999999988</v>
      </c>
      <c r="F6" s="12">
        <f t="shared" ref="F6:H6" si="1">(F5-E5)/E5</f>
        <v>0.1934000000000001</v>
      </c>
      <c r="G6" s="12">
        <f t="shared" si="1"/>
        <v>0.19339999999999985</v>
      </c>
      <c r="H6" s="12">
        <f t="shared" si="1"/>
        <v>0.19339999999999996</v>
      </c>
    </row>
    <row r="8" spans="1:8">
      <c r="A8" s="27" t="s">
        <v>77</v>
      </c>
      <c r="B8" s="27"/>
      <c r="C8" s="27"/>
      <c r="D8" s="27"/>
      <c r="E8" s="27"/>
      <c r="F8" s="27"/>
      <c r="G8" s="27"/>
      <c r="H8" s="27"/>
    </row>
    <row r="9" spans="1:8">
      <c r="A9" t="s">
        <v>80</v>
      </c>
      <c r="B9" s="30">
        <f>'Historical &amp; Assumptions'!B23</f>
        <v>8200</v>
      </c>
      <c r="C9" s="30">
        <f>B12</f>
        <v>8200</v>
      </c>
      <c r="D9" s="30">
        <f>C12</f>
        <v>11900</v>
      </c>
      <c r="E9" s="30">
        <f>D12</f>
        <v>14500</v>
      </c>
      <c r="F9">
        <f>E9*(1+'Historical &amp; Assumptions'!$B$87)</f>
        <v>16965</v>
      </c>
      <c r="G9">
        <f>F9*(1+'Historical &amp; Assumptions'!$B$87)</f>
        <v>19849.05</v>
      </c>
      <c r="H9" s="9">
        <f>G9*(1+'Historical &amp; Assumptions'!$B$87)</f>
        <v>23223.388499999997</v>
      </c>
    </row>
    <row r="10" spans="1:8">
      <c r="A10" t="s">
        <v>81</v>
      </c>
      <c r="B10" s="31" t="s">
        <v>15</v>
      </c>
      <c r="C10" s="30">
        <f>'Historical &amp; Assumptions'!C23-('Historical &amp; Assumptions'!B23-('Historical &amp; Assumptions'!B23*'Historical &amp; Assumptions'!$B$90))</f>
        <v>4930</v>
      </c>
      <c r="D10" s="30">
        <f>'Historical &amp; Assumptions'!D23-('Historical &amp; Assumptions'!C23-('Historical &amp; Assumptions'!C23*'Historical &amp; Assumptions'!$B$90))</f>
        <v>4385</v>
      </c>
      <c r="E10" s="30">
        <f>(E9*(1+'Historical &amp; Assumptions'!$B$87))-(E9-(E9*'Historical &amp; Assumptions'!$B$90))</f>
        <v>4640</v>
      </c>
      <c r="F10" s="30">
        <f>(F9*(1+'Historical &amp; Assumptions'!$B$87))-(F9-(F9*'Historical &amp; Assumptions'!$B$90))</f>
        <v>5428.7999999999993</v>
      </c>
      <c r="G10" s="30">
        <f>(G9*(1+'Historical &amp; Assumptions'!$B$87))-(G9-(G9*'Historical &amp; Assumptions'!$B$90))</f>
        <v>6351.6959999999963</v>
      </c>
      <c r="H10" s="30">
        <f>(H9*(1+'Historical &amp; Assumptions'!$B$87))-(H9-(H9*'Historical &amp; Assumptions'!$B$90))</f>
        <v>7431.4843199999996</v>
      </c>
    </row>
    <row r="11" spans="1:8">
      <c r="A11" t="s">
        <v>82</v>
      </c>
      <c r="B11" s="2" t="s">
        <v>15</v>
      </c>
      <c r="C11">
        <f>C9*'Historical &amp; Assumptions'!$B$90</f>
        <v>1230</v>
      </c>
      <c r="D11">
        <f>D9*'Historical &amp; Assumptions'!$B$90</f>
        <v>1785</v>
      </c>
      <c r="E11" s="9">
        <f>E9*'Historical &amp; Assumptions'!$B$90</f>
        <v>2175</v>
      </c>
      <c r="F11" s="9">
        <f>F9*'Historical &amp; Assumptions'!$B$90</f>
        <v>2544.75</v>
      </c>
      <c r="G11" s="9">
        <f>G9*'Historical &amp; Assumptions'!$B$90</f>
        <v>2977.3574999999996</v>
      </c>
      <c r="H11" s="9">
        <f>H9*'Historical &amp; Assumptions'!$B$90</f>
        <v>3483.5082749999997</v>
      </c>
    </row>
    <row r="12" spans="1:8">
      <c r="A12" t="s">
        <v>83</v>
      </c>
      <c r="B12" s="30">
        <f>B9</f>
        <v>8200</v>
      </c>
      <c r="C12" s="30">
        <f>SUM(C9:C10)-C11</f>
        <v>11900</v>
      </c>
      <c r="D12" s="30">
        <f>SUM(D9:D10)-D11</f>
        <v>14500</v>
      </c>
      <c r="E12" s="30">
        <f>SUM(E9:E10)-E11</f>
        <v>16965</v>
      </c>
      <c r="F12" s="30">
        <f t="shared" ref="F12:H12" si="2">SUM(F9:F10)-F11</f>
        <v>19849.05</v>
      </c>
      <c r="G12" s="30">
        <f t="shared" si="2"/>
        <v>23223.388499999997</v>
      </c>
      <c r="H12" s="30">
        <f t="shared" si="2"/>
        <v>27171.364544999997</v>
      </c>
    </row>
    <row r="13" spans="1:8">
      <c r="A13" t="s">
        <v>17</v>
      </c>
      <c r="B13" s="1">
        <f>'Historical &amp; Assumptions'!B30</f>
        <v>13158.536585365853</v>
      </c>
      <c r="C13" s="1">
        <f>'Historical &amp; Assumptions'!C30</f>
        <v>11991.596638655463</v>
      </c>
      <c r="D13" s="1">
        <f>'Historical &amp; Assumptions'!D30</f>
        <v>12503.448275862069</v>
      </c>
      <c r="E13" s="1">
        <f>D13*(1+'Historical &amp; Assumptions'!$B$89)</f>
        <v>12753.51724137931</v>
      </c>
      <c r="F13" s="1">
        <f>E13*(1+'Historical &amp; Assumptions'!$B$89)</f>
        <v>13008.587586206897</v>
      </c>
      <c r="G13" s="1">
        <f>F13*(1+'Historical &amp; Assumptions'!$B$89)</f>
        <v>13268.759337931035</v>
      </c>
      <c r="H13" s="1">
        <f>G13*(1+'Historical &amp; Assumptions'!$B$89)</f>
        <v>13534.134524689656</v>
      </c>
    </row>
    <row r="14" spans="1:8">
      <c r="A14" t="s">
        <v>5</v>
      </c>
      <c r="B14" s="2" t="s">
        <v>15</v>
      </c>
      <c r="C14" s="11">
        <f>(C13-B13)/B13</f>
        <v>-8.8683109944626512E-2</v>
      </c>
      <c r="D14" s="11">
        <f>(D13-C13)/C13</f>
        <v>4.2684193992702249E-2</v>
      </c>
      <c r="E14" s="11">
        <f t="shared" ref="E14:H14" si="3">(E13-D13)/D13</f>
        <v>1.9999999999999966E-2</v>
      </c>
      <c r="F14" s="11">
        <f t="shared" si="3"/>
        <v>2.0000000000000077E-2</v>
      </c>
      <c r="G14" s="11">
        <f t="shared" si="3"/>
        <v>1.9999999999999983E-2</v>
      </c>
      <c r="H14" s="11">
        <f t="shared" si="3"/>
        <v>2.0000000000000066E-2</v>
      </c>
    </row>
    <row r="15" spans="1:8">
      <c r="B15" s="2"/>
      <c r="C15" s="29"/>
      <c r="D15" s="29"/>
      <c r="E15" s="29"/>
      <c r="F15" s="29"/>
      <c r="G15" s="29"/>
      <c r="H15" s="29"/>
    </row>
    <row r="16" spans="1:8">
      <c r="A16" s="27" t="s">
        <v>78</v>
      </c>
      <c r="B16" s="27"/>
      <c r="C16" s="27"/>
      <c r="D16" s="27"/>
      <c r="E16" s="27"/>
      <c r="F16" s="27"/>
      <c r="G16" s="27"/>
      <c r="H16" s="27"/>
    </row>
    <row r="17" spans="1:8">
      <c r="A17" t="s">
        <v>84</v>
      </c>
      <c r="B17" s="1">
        <f>((B13*B12)/1000000)-B5</f>
        <v>0</v>
      </c>
      <c r="C17" s="1">
        <f t="shared" ref="C17:H17" si="4">((C13*C12)/1000000)-C5</f>
        <v>0</v>
      </c>
      <c r="D17" s="1">
        <f t="shared" si="4"/>
        <v>0</v>
      </c>
      <c r="E17" s="1">
        <f t="shared" si="4"/>
        <v>0</v>
      </c>
      <c r="F17" s="1">
        <f t="shared" si="4"/>
        <v>0</v>
      </c>
      <c r="G17" s="1">
        <f t="shared" si="4"/>
        <v>0</v>
      </c>
      <c r="H17" s="1">
        <f t="shared" si="4"/>
        <v>0</v>
      </c>
    </row>
    <row r="19" spans="1:8" ht="15.75" thickBot="1">
      <c r="A19" s="27" t="s">
        <v>79</v>
      </c>
      <c r="B19" s="10"/>
      <c r="C19" s="10"/>
      <c r="D19" s="10"/>
      <c r="E19" s="10"/>
      <c r="F19" s="10"/>
      <c r="G19" s="10"/>
      <c r="H19" s="10"/>
    </row>
    <row r="20" spans="1:8" ht="15.75" thickBot="1">
      <c r="A20" t="s">
        <v>87</v>
      </c>
      <c r="B20" s="32">
        <f>(H5-B5)/B5</f>
        <v>2.4081640683170797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9653-576C-4F03-B3F0-AD3DC45BED91}">
  <sheetPr>
    <tabColor theme="9" tint="0.59999389629810485"/>
  </sheetPr>
  <dimension ref="A1:H19"/>
  <sheetViews>
    <sheetView workbookViewId="0">
      <selection activeCell="G30" sqref="G30"/>
    </sheetView>
  </sheetViews>
  <sheetFormatPr defaultRowHeight="15"/>
  <cols>
    <col min="1" max="1" width="29" bestFit="1" customWidth="1"/>
    <col min="2" max="2" width="7.5703125" bestFit="1" customWidth="1"/>
    <col min="3" max="4" width="9.5703125" bestFit="1" customWidth="1"/>
    <col min="5" max="8" width="11.5703125" bestFit="1" customWidth="1"/>
  </cols>
  <sheetData>
    <row r="1" spans="1:8">
      <c r="A1" s="3" t="s">
        <v>8</v>
      </c>
    </row>
    <row r="3" spans="1:8">
      <c r="A3" s="28" t="s">
        <v>76</v>
      </c>
      <c r="B3" s="28" t="s">
        <v>16</v>
      </c>
      <c r="C3" s="28" t="s">
        <v>9</v>
      </c>
      <c r="D3" s="28" t="s">
        <v>10</v>
      </c>
      <c r="E3" s="28" t="s">
        <v>7</v>
      </c>
      <c r="F3" s="28" t="s">
        <v>12</v>
      </c>
      <c r="G3" s="28" t="s">
        <v>11</v>
      </c>
      <c r="H3" s="28" t="s">
        <v>13</v>
      </c>
    </row>
    <row r="4" spans="1:8">
      <c r="A4" t="s">
        <v>86</v>
      </c>
      <c r="B4" s="1">
        <f>'Historical &amp; Assumptions'!B3</f>
        <v>267.7</v>
      </c>
      <c r="C4" s="1">
        <f>'Historical &amp; Assumptions'!C3</f>
        <v>301.10000000000002</v>
      </c>
      <c r="D4" s="1">
        <f>'Historical &amp; Assumptions'!D3</f>
        <v>299.60000000000002</v>
      </c>
      <c r="E4" s="1">
        <f>(E12*E11)/1000000</f>
        <v>275.99151999999998</v>
      </c>
      <c r="F4" s="1">
        <f t="shared" ref="F4:H4" si="0">(F12*F11)/1000000</f>
        <v>254.24338822399997</v>
      </c>
      <c r="G4" s="1">
        <f t="shared" si="0"/>
        <v>234.20900923194873</v>
      </c>
      <c r="H4" s="1">
        <f t="shared" si="0"/>
        <v>215.75333930447113</v>
      </c>
    </row>
    <row r="5" spans="1:8">
      <c r="A5" t="s">
        <v>14</v>
      </c>
      <c r="B5" s="2" t="s">
        <v>15</v>
      </c>
      <c r="C5" s="29">
        <f>(C4-B4)/B4</f>
        <v>0.12476652969742262</v>
      </c>
      <c r="D5" s="29">
        <f t="shared" ref="D5:H5" si="1">(D4-C4)/C4</f>
        <v>-4.9817336433078709E-3</v>
      </c>
      <c r="E5" s="29">
        <f t="shared" si="1"/>
        <v>-7.8800000000000134E-2</v>
      </c>
      <c r="F5" s="29">
        <f t="shared" si="1"/>
        <v>-7.8800000000000037E-2</v>
      </c>
      <c r="G5" s="29">
        <f t="shared" si="1"/>
        <v>-7.8800000000000189E-2</v>
      </c>
      <c r="H5" s="29">
        <f t="shared" si="1"/>
        <v>-7.8800000000000175E-2</v>
      </c>
    </row>
    <row r="7" spans="1:8">
      <c r="A7" s="27" t="s">
        <v>77</v>
      </c>
      <c r="B7" s="27"/>
      <c r="C7" s="27"/>
      <c r="D7" s="27"/>
      <c r="E7" s="27"/>
      <c r="F7" s="27"/>
      <c r="G7" s="27"/>
      <c r="H7" s="27"/>
    </row>
    <row r="8" spans="1:8">
      <c r="A8" t="s">
        <v>80</v>
      </c>
      <c r="B8" s="30">
        <f>'Historical &amp; Assumptions'!B28</f>
        <v>821800</v>
      </c>
      <c r="C8" s="30">
        <f>B11</f>
        <v>821800</v>
      </c>
      <c r="D8" s="30">
        <f>C11</f>
        <v>868100</v>
      </c>
      <c r="E8" s="35">
        <f>D11</f>
        <v>872500</v>
      </c>
      <c r="F8" s="35">
        <f>E11</f>
        <v>820150</v>
      </c>
      <c r="G8" s="35">
        <f t="shared" ref="G8:H8" si="2">F11</f>
        <v>770941</v>
      </c>
      <c r="H8" s="35">
        <f t="shared" si="2"/>
        <v>724684.53999999992</v>
      </c>
    </row>
    <row r="9" spans="1:8">
      <c r="A9" t="s">
        <v>81</v>
      </c>
      <c r="B9" t="s">
        <v>15</v>
      </c>
      <c r="C9" s="30">
        <f>((C8*(1+'Historical &amp; Assumptions'!$B$51))-(('Self-Serve Revenue'!C8-('Self-Serve Revenue'!C8*'Historical &amp; Assumptions'!$B$90))))</f>
        <v>169570</v>
      </c>
      <c r="D9" s="30">
        <f>((D8*(1+'Historical &amp; Assumptions'!$C$51))-(('Self-Serve Revenue'!D8-('Self-Serve Revenue'!D8*'Historical &amp; Assumptions'!$B$90))))</f>
        <v>134615</v>
      </c>
      <c r="E9" s="30">
        <f>((E8*(1+'Historical &amp; Assumptions'!$B$91))-(('Self-Serve Revenue'!E8-('Self-Serve Revenue'!E8*'Historical &amp; Assumptions'!$B$90))))</f>
        <v>78525</v>
      </c>
      <c r="F9" s="30">
        <f>((F8*(1+'Historical &amp; Assumptions'!$B$91))-(('Self-Serve Revenue'!F8-('Self-Serve Revenue'!F8*'Historical &amp; Assumptions'!$B$90))))</f>
        <v>73813.5</v>
      </c>
      <c r="G9" s="30">
        <f>((G8*(1+'Historical &amp; Assumptions'!$B$91))-(('Self-Serve Revenue'!G8-('Self-Serve Revenue'!G8*'Historical &amp; Assumptions'!$B$90))))</f>
        <v>69384.689999999944</v>
      </c>
      <c r="H9" s="30">
        <f>((H8*(1+'Historical &amp; Assumptions'!$B$91))-(('Self-Serve Revenue'!H8-('Self-Serve Revenue'!H8*'Historical &amp; Assumptions'!$B$90))))</f>
        <v>65221.60859999992</v>
      </c>
    </row>
    <row r="10" spans="1:8">
      <c r="A10" t="s">
        <v>82</v>
      </c>
      <c r="C10" s="9">
        <f>B11*'Historical &amp; Assumptions'!$B$90</f>
        <v>123270</v>
      </c>
      <c r="D10" s="9">
        <f>C11*'Historical &amp; Assumptions'!$B$90</f>
        <v>130215</v>
      </c>
      <c r="E10" s="9">
        <f>D11*'Historical &amp; Assumptions'!$B$90</f>
        <v>130875</v>
      </c>
      <c r="F10" s="9">
        <f>E11*'Historical &amp; Assumptions'!$B$90</f>
        <v>123022.5</v>
      </c>
      <c r="G10" s="9">
        <f>F11*'Historical &amp; Assumptions'!$B$90</f>
        <v>115641.15</v>
      </c>
      <c r="H10" s="9">
        <f>G11*'Historical &amp; Assumptions'!$B$90</f>
        <v>108702.68099999998</v>
      </c>
    </row>
    <row r="11" spans="1:8">
      <c r="A11" t="s">
        <v>83</v>
      </c>
      <c r="B11" s="30">
        <f>SUM(B8:B9)</f>
        <v>821800</v>
      </c>
      <c r="C11" s="30">
        <f>SUM(C8:C9)-C10</f>
        <v>868100</v>
      </c>
      <c r="D11" s="30">
        <f t="shared" ref="D11:H11" si="3">SUM(D8:D9)-D10</f>
        <v>872500</v>
      </c>
      <c r="E11" s="30">
        <f t="shared" si="3"/>
        <v>820150</v>
      </c>
      <c r="F11" s="30">
        <f t="shared" si="3"/>
        <v>770941</v>
      </c>
      <c r="G11" s="30">
        <f t="shared" si="3"/>
        <v>724684.53999999992</v>
      </c>
      <c r="H11" s="30">
        <f t="shared" si="3"/>
        <v>681203.46759999986</v>
      </c>
    </row>
    <row r="12" spans="1:8">
      <c r="A12" t="s">
        <v>90</v>
      </c>
      <c r="B12" s="1">
        <f>'Historical &amp; Assumptions'!B29</f>
        <v>325.74835726454126</v>
      </c>
      <c r="C12" s="1">
        <f>'Historical &amp; Assumptions'!C29</f>
        <v>346.84944130860498</v>
      </c>
      <c r="D12" s="1">
        <f>'Historical &amp; Assumptions'!D29</f>
        <v>343.38108882521487</v>
      </c>
      <c r="E12" s="1">
        <f>D12*(1+'Historical &amp; Assumptions'!$B$88)</f>
        <v>336.5134670487106</v>
      </c>
      <c r="F12" s="1">
        <f>E12*(1+'Historical &amp; Assumptions'!$B$88)</f>
        <v>329.78319770773635</v>
      </c>
      <c r="G12" s="1">
        <f>F12*(1+'Historical &amp; Assumptions'!$B$88)</f>
        <v>323.18753375358159</v>
      </c>
      <c r="H12" s="1">
        <f>G12*(1+'Historical &amp; Assumptions'!$B$88)</f>
        <v>316.72378307850994</v>
      </c>
    </row>
    <row r="13" spans="1:8">
      <c r="A13" t="s">
        <v>5</v>
      </c>
      <c r="B13" s="2" t="s">
        <v>15</v>
      </c>
      <c r="C13" s="29">
        <f>(C12-B12)/B12</f>
        <v>6.4777253893954306E-2</v>
      </c>
      <c r="D13" s="29">
        <f t="shared" ref="D13:H13" si="4">(D12-C12)/C12</f>
        <v>-9.9995908031582578E-3</v>
      </c>
      <c r="E13" s="29">
        <f t="shared" si="4"/>
        <v>-1.9999999999999948E-2</v>
      </c>
      <c r="F13" s="29">
        <f t="shared" si="4"/>
        <v>-2.0000000000000101E-2</v>
      </c>
      <c r="G13" s="29">
        <f t="shared" si="4"/>
        <v>-2.0000000000000098E-2</v>
      </c>
      <c r="H13" s="29">
        <f t="shared" si="4"/>
        <v>-2.0000000000000059E-2</v>
      </c>
    </row>
    <row r="15" spans="1:8">
      <c r="A15" s="27" t="s">
        <v>78</v>
      </c>
      <c r="B15" s="27"/>
      <c r="C15" s="27"/>
      <c r="D15" s="27"/>
      <c r="E15" s="27"/>
      <c r="F15" s="27"/>
      <c r="G15" s="27"/>
      <c r="H15" s="27"/>
    </row>
    <row r="16" spans="1:8">
      <c r="A16" t="s">
        <v>84</v>
      </c>
      <c r="B16" s="1">
        <f>(B4*1000000)-((B11*B12))</f>
        <v>0</v>
      </c>
      <c r="C16" s="1">
        <f>(C4*1000000)-((C11*C12))</f>
        <v>0</v>
      </c>
      <c r="D16" s="1">
        <f t="shared" ref="D16:H16" si="5">(D4*1000000)-((D11*D12))</f>
        <v>0</v>
      </c>
      <c r="E16" s="1">
        <f t="shared" si="5"/>
        <v>0</v>
      </c>
      <c r="F16" s="1">
        <f t="shared" si="5"/>
        <v>0</v>
      </c>
      <c r="G16" s="1">
        <f t="shared" si="5"/>
        <v>0</v>
      </c>
      <c r="H16" s="1">
        <f t="shared" si="5"/>
        <v>0</v>
      </c>
    </row>
    <row r="18" spans="1:8" ht="15.75" thickBot="1">
      <c r="A18" s="27" t="s">
        <v>79</v>
      </c>
      <c r="B18" s="10"/>
      <c r="C18" s="10"/>
      <c r="D18" s="10"/>
      <c r="E18" s="10"/>
      <c r="F18" s="10"/>
      <c r="G18" s="10"/>
      <c r="H18" s="10"/>
    </row>
    <row r="19" spans="1:8" ht="15.75" thickBot="1">
      <c r="A19" t="s">
        <v>87</v>
      </c>
      <c r="B19" s="36">
        <f>(H4-B4)/B4</f>
        <v>-0.19404804144762369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893F-4681-452E-8E8C-FC10E77C2832}">
  <sheetPr>
    <tabColor theme="4" tint="0.79998168889431442"/>
  </sheetPr>
  <dimension ref="A1:K27"/>
  <sheetViews>
    <sheetView workbookViewId="0">
      <selection activeCell="I34" sqref="I34"/>
    </sheetView>
  </sheetViews>
  <sheetFormatPr defaultRowHeight="15"/>
  <cols>
    <col min="1" max="1" width="30.7109375" bestFit="1" customWidth="1"/>
    <col min="2" max="2" width="12.28515625" bestFit="1" customWidth="1"/>
    <col min="3" max="4" width="9.28515625" bestFit="1" customWidth="1"/>
    <col min="5" max="5" width="10.140625" bestFit="1" customWidth="1"/>
  </cols>
  <sheetData>
    <row r="1" spans="1:11">
      <c r="A1" s="37" t="s">
        <v>91</v>
      </c>
    </row>
    <row r="2" spans="1:11" ht="15.75" thickBot="1"/>
    <row r="3" spans="1:11" ht="16.5" thickBot="1">
      <c r="A3" s="38" t="str">
        <f>'Historical &amp; Assumptions'!B86</f>
        <v>Downside</v>
      </c>
      <c r="B3" s="39"/>
    </row>
    <row r="4" spans="1:11">
      <c r="A4" s="28" t="s">
        <v>92</v>
      </c>
      <c r="B4" s="28" t="s">
        <v>16</v>
      </c>
      <c r="C4" s="28" t="s">
        <v>9</v>
      </c>
      <c r="D4" s="28" t="s">
        <v>10</v>
      </c>
      <c r="E4" s="28" t="s">
        <v>7</v>
      </c>
      <c r="F4" s="28" t="s">
        <v>12</v>
      </c>
      <c r="G4" s="28" t="s">
        <v>11</v>
      </c>
      <c r="H4" s="28" t="s">
        <v>13</v>
      </c>
    </row>
    <row r="5" spans="1:11">
      <c r="A5" s="40" t="s">
        <v>93</v>
      </c>
      <c r="B5" s="40"/>
      <c r="C5" s="40"/>
      <c r="D5" s="40"/>
      <c r="E5" s="40"/>
      <c r="F5" s="40"/>
      <c r="G5" s="40"/>
      <c r="H5" s="40"/>
    </row>
    <row r="6" spans="1:11">
      <c r="A6" t="s">
        <v>19</v>
      </c>
      <c r="B6" s="1">
        <f>'Self-Serve Revenue'!B4</f>
        <v>267.7</v>
      </c>
      <c r="C6" s="1">
        <f>'Self-Serve Revenue'!C4</f>
        <v>301.10000000000002</v>
      </c>
      <c r="D6" s="1">
        <f>'Self-Serve Revenue'!D4</f>
        <v>299.60000000000002</v>
      </c>
      <c r="E6" s="1">
        <f>'Self-Serve Revenue'!E4</f>
        <v>275.99151999999998</v>
      </c>
      <c r="F6" s="1">
        <f>'Self-Serve Revenue'!F4</f>
        <v>254.24338822399997</v>
      </c>
      <c r="G6" s="1">
        <f>'Self-Serve Revenue'!G4</f>
        <v>234.20900923194873</v>
      </c>
      <c r="H6" s="1">
        <f>'Self-Serve Revenue'!H4</f>
        <v>215.75333930447113</v>
      </c>
    </row>
    <row r="7" spans="1:11">
      <c r="A7" t="s">
        <v>20</v>
      </c>
      <c r="B7" s="1">
        <f>'Sales-Assisted Revenue'!B5</f>
        <v>107.9</v>
      </c>
      <c r="C7" s="1">
        <f>'Sales-Assisted Revenue'!C5</f>
        <v>142.69999999999999</v>
      </c>
      <c r="D7" s="1">
        <f>'Sales-Assisted Revenue'!D5</f>
        <v>181.3</v>
      </c>
      <c r="E7" s="1">
        <f>'Sales-Assisted Revenue'!E5</f>
        <v>216.36341999999999</v>
      </c>
      <c r="F7" s="1">
        <f>'Sales-Assisted Revenue'!F5</f>
        <v>258.20810542800001</v>
      </c>
      <c r="G7" s="1">
        <f>'Sales-Assisted Revenue'!G5</f>
        <v>308.14555301777517</v>
      </c>
      <c r="H7" s="1">
        <f>'Sales-Assisted Revenue'!H5</f>
        <v>367.74090297141288</v>
      </c>
    </row>
    <row r="8" spans="1:11">
      <c r="A8" t="s">
        <v>21</v>
      </c>
      <c r="B8" s="1">
        <f>SUM(B6:B7)</f>
        <v>375.6</v>
      </c>
      <c r="C8" s="1">
        <f t="shared" ref="C8:H8" si="0">SUM(C6:C7)</f>
        <v>443.8</v>
      </c>
      <c r="D8" s="1">
        <f t="shared" si="0"/>
        <v>480.90000000000003</v>
      </c>
      <c r="E8" s="1">
        <f t="shared" si="0"/>
        <v>492.35493999999994</v>
      </c>
      <c r="F8" s="1">
        <f t="shared" si="0"/>
        <v>512.45149365199995</v>
      </c>
      <c r="G8" s="1">
        <f t="shared" si="0"/>
        <v>542.35456224972393</v>
      </c>
      <c r="H8" s="1">
        <f t="shared" si="0"/>
        <v>583.49424227588406</v>
      </c>
      <c r="K8" s="12"/>
    </row>
    <row r="9" spans="1:11">
      <c r="A9" t="s">
        <v>94</v>
      </c>
      <c r="B9" s="2" t="s">
        <v>15</v>
      </c>
      <c r="C9" s="12">
        <f>(C8-B8)/B8</f>
        <v>0.18157614483493073</v>
      </c>
      <c r="D9" s="12">
        <f t="shared" ref="D9:H9" si="1">(D8-C8)/C8</f>
        <v>8.3596214511041059E-2</v>
      </c>
      <c r="E9" s="12">
        <f t="shared" si="1"/>
        <v>2.381979621542921E-2</v>
      </c>
      <c r="F9" s="12">
        <f t="shared" si="1"/>
        <v>4.0817207301708021E-2</v>
      </c>
      <c r="G9" s="12">
        <f t="shared" si="1"/>
        <v>5.83529738290329E-2</v>
      </c>
      <c r="H9" s="12">
        <f t="shared" si="1"/>
        <v>7.5853847076550657E-2</v>
      </c>
    </row>
    <row r="11" spans="1:11">
      <c r="A11" s="40" t="s">
        <v>23</v>
      </c>
      <c r="B11" s="40"/>
      <c r="C11" s="40"/>
      <c r="D11" s="40"/>
      <c r="E11" s="40"/>
      <c r="F11" s="40"/>
      <c r="G11" s="40"/>
      <c r="H11" s="40"/>
    </row>
    <row r="12" spans="1:11">
      <c r="A12" t="s">
        <v>24</v>
      </c>
      <c r="B12" s="1">
        <f>B8-B13</f>
        <v>291.70000000000005</v>
      </c>
      <c r="C12" s="1">
        <f t="shared" ref="C12:D12" si="2">C8-C13</f>
        <v>357.4</v>
      </c>
      <c r="D12" s="1">
        <f t="shared" si="2"/>
        <v>394.6</v>
      </c>
      <c r="E12" s="1">
        <f>E8*'Historical &amp; Assumptions'!B94</f>
        <v>393.88395199999997</v>
      </c>
      <c r="F12" s="1">
        <f>F8*'Historical &amp; Assumptions'!C94</f>
        <v>407.39893745334001</v>
      </c>
      <c r="G12" s="1">
        <f>G8*'Historical &amp; Assumptions'!D94</f>
        <v>428.46010417728195</v>
      </c>
      <c r="H12" s="1">
        <f>H8*'Historical &amp; Assumptions'!E94</f>
        <v>458.04298018656903</v>
      </c>
    </row>
    <row r="13" spans="1:11">
      <c r="A13" t="s">
        <v>23</v>
      </c>
      <c r="B13" s="1">
        <f>'Historical &amp; Assumptions'!B9</f>
        <v>83.9</v>
      </c>
      <c r="C13" s="1">
        <f>'Historical &amp; Assumptions'!C9</f>
        <v>86.4</v>
      </c>
      <c r="D13" s="1">
        <f>'Historical &amp; Assumptions'!D9</f>
        <v>86.3</v>
      </c>
      <c r="E13" s="1">
        <f>E8-E12</f>
        <v>98.470987999999977</v>
      </c>
      <c r="F13" s="1">
        <f t="shared" ref="F13:H13" si="3">F8-F12</f>
        <v>105.05255619865994</v>
      </c>
      <c r="G13" s="1">
        <f t="shared" si="3"/>
        <v>113.89445807244198</v>
      </c>
      <c r="H13" s="1">
        <f t="shared" si="3"/>
        <v>125.45126208931504</v>
      </c>
    </row>
    <row r="14" spans="1:11">
      <c r="A14" t="s">
        <v>1</v>
      </c>
      <c r="B14" s="41">
        <f>(B12/B8)</f>
        <v>0.77662406815761453</v>
      </c>
      <c r="C14" s="41">
        <f t="shared" ref="C14:H14" si="4">(C12/C8)</f>
        <v>0.80531771068048663</v>
      </c>
      <c r="D14" s="41">
        <f t="shared" si="4"/>
        <v>0.82054481181118732</v>
      </c>
      <c r="E14" s="41">
        <f t="shared" si="4"/>
        <v>0.8</v>
      </c>
      <c r="F14" s="41">
        <f t="shared" si="4"/>
        <v>0.79500000000000004</v>
      </c>
      <c r="G14" s="41">
        <f t="shared" si="4"/>
        <v>0.79</v>
      </c>
      <c r="H14" s="41">
        <f t="shared" si="4"/>
        <v>0.78500000000000003</v>
      </c>
    </row>
    <row r="16" spans="1:11">
      <c r="A16" s="40" t="s">
        <v>95</v>
      </c>
      <c r="B16" s="40"/>
      <c r="C16" s="40"/>
      <c r="D16" s="40"/>
      <c r="E16" s="40"/>
      <c r="F16" s="40"/>
      <c r="G16" s="40"/>
      <c r="H16" s="40"/>
    </row>
    <row r="17" spans="1:11">
      <c r="A17" t="s">
        <v>96</v>
      </c>
      <c r="B17" s="1">
        <f>'Historical &amp; Assumptions'!B12</f>
        <v>113</v>
      </c>
      <c r="C17" s="1">
        <f>'Historical &amp; Assumptions'!C12</f>
        <v>139.30000000000001</v>
      </c>
      <c r="D17" s="1">
        <f>'Historical &amp; Assumptions'!D12</f>
        <v>138.1</v>
      </c>
      <c r="E17" s="1">
        <f>E8*'Historical &amp; Assumptions'!B95</f>
        <v>147.70648199999997</v>
      </c>
      <c r="F17" s="1">
        <f>F8*'Historical &amp; Assumptions'!C95</f>
        <v>158.85996303211999</v>
      </c>
      <c r="G17" s="1">
        <f>G8*'Historical &amp; Assumptions'!D95</f>
        <v>173.55345991991166</v>
      </c>
      <c r="H17" s="1">
        <f>H8*'Historical &amp; Assumptions'!E95</f>
        <v>192.55309995104176</v>
      </c>
    </row>
    <row r="18" spans="1:11">
      <c r="A18" t="s">
        <v>26</v>
      </c>
      <c r="B18" s="1">
        <f>'Historical &amp; Assumptions'!B13</f>
        <v>172.4</v>
      </c>
      <c r="C18" s="1">
        <f>'Historical &amp; Assumptions'!C13</f>
        <v>224</v>
      </c>
      <c r="D18" s="1">
        <f>'Historical &amp; Assumptions'!D13</f>
        <v>223.8</v>
      </c>
      <c r="E18" s="61">
        <f>E8*'Historical &amp; Assumptions'!B96</f>
        <v>236.33037119999997</v>
      </c>
      <c r="F18" s="61">
        <f>F8*'Historical &amp; Assumptions'!C96</f>
        <v>251.10123188947998</v>
      </c>
      <c r="G18" s="61">
        <f>G8*'Historical &amp; Assumptions'!D96</f>
        <v>271.17728112486196</v>
      </c>
      <c r="H18" s="61">
        <f>H8*'Historical &amp; Assumptions'!E96</f>
        <v>297.58206356070087</v>
      </c>
    </row>
    <row r="19" spans="1:11">
      <c r="A19" t="s">
        <v>97</v>
      </c>
      <c r="B19" s="1">
        <f>'Historical &amp; Assumptions'!B14</f>
        <v>87.9</v>
      </c>
      <c r="C19" s="1">
        <f>'Historical &amp; Assumptions'!C14</f>
        <v>106.7</v>
      </c>
      <c r="D19" s="1">
        <f>'Historical &amp; Assumptions'!D14</f>
        <v>107.5</v>
      </c>
      <c r="E19" s="61">
        <f>E8*'Historical &amp; Assumptions'!B97</f>
        <v>113.24163619999999</v>
      </c>
      <c r="F19" s="61">
        <f>F8*'Historical &amp; Assumptions'!C97</f>
        <v>120.42610100821999</v>
      </c>
      <c r="G19" s="61">
        <f>G8*'Historical &amp; Assumptions'!D97</f>
        <v>130.16509493993374</v>
      </c>
      <c r="H19" s="61">
        <f>H8*'Historical &amp; Assumptions'!E97</f>
        <v>142.95608935759159</v>
      </c>
    </row>
    <row r="20" spans="1:11">
      <c r="A20" t="s">
        <v>28</v>
      </c>
      <c r="B20" s="42">
        <f>'Historical &amp; Assumptions'!B15</f>
        <v>0</v>
      </c>
      <c r="C20" s="42">
        <f>'Historical &amp; Assumptions'!C15</f>
        <v>0</v>
      </c>
      <c r="D20" s="1">
        <f>'Historical &amp; Assumptions'!D15</f>
        <v>6.6</v>
      </c>
      <c r="E20" s="62">
        <v>0</v>
      </c>
      <c r="F20" s="62">
        <v>0</v>
      </c>
      <c r="G20" s="62">
        <v>0</v>
      </c>
      <c r="H20" s="62">
        <v>0</v>
      </c>
    </row>
    <row r="21" spans="1:11">
      <c r="A21" t="s">
        <v>98</v>
      </c>
      <c r="B21" s="1">
        <f>SUM(B17:B20)</f>
        <v>373.29999999999995</v>
      </c>
      <c r="C21" s="1">
        <f t="shared" ref="C21:F21" si="5">SUM(C17:C20)</f>
        <v>470</v>
      </c>
      <c r="D21" s="1">
        <f t="shared" si="5"/>
        <v>476</v>
      </c>
      <c r="E21" s="1">
        <f t="shared" si="5"/>
        <v>497.2784893999999</v>
      </c>
      <c r="F21" s="1">
        <f t="shared" si="5"/>
        <v>530.38729592981997</v>
      </c>
      <c r="G21" s="1">
        <f>SUM(G17:G20)</f>
        <v>574.89583598470733</v>
      </c>
      <c r="H21" s="1">
        <f>SUM(H17:H20)</f>
        <v>633.0912528693342</v>
      </c>
    </row>
    <row r="22" spans="1:11">
      <c r="K22" s="1"/>
    </row>
    <row r="23" spans="1:11">
      <c r="A23" t="s">
        <v>99</v>
      </c>
      <c r="B23" s="1">
        <f>'Historical &amp; Assumptions'!B17</f>
        <v>-81.599999999999994</v>
      </c>
      <c r="C23" s="1">
        <f>'Historical &amp; Assumptions'!C17</f>
        <v>-112.6</v>
      </c>
      <c r="D23" s="1">
        <f>'Historical &amp; Assumptions'!D17</f>
        <v>-81.3</v>
      </c>
      <c r="E23" s="1">
        <f>E12-E21</f>
        <v>-103.39453739999993</v>
      </c>
      <c r="F23" s="1">
        <f t="shared" ref="F23:G23" si="6">F12-F21</f>
        <v>-122.98835847647996</v>
      </c>
      <c r="G23" s="1">
        <f t="shared" si="6"/>
        <v>-146.43573180742538</v>
      </c>
      <c r="H23" s="1">
        <f>H12-H21</f>
        <v>-175.04827268276517</v>
      </c>
    </row>
    <row r="24" spans="1:11">
      <c r="A24" t="s">
        <v>101</v>
      </c>
      <c r="B24" s="41">
        <f>B23/B8</f>
        <v>-0.21725239616613415</v>
      </c>
      <c r="C24" s="41">
        <f t="shared" ref="C24:D24" si="7">C23/C8</f>
        <v>-0.2537178909418657</v>
      </c>
      <c r="D24" s="41">
        <f t="shared" si="7"/>
        <v>-0.16905801621958824</v>
      </c>
      <c r="E24" s="41">
        <f>E23/E8</f>
        <v>-0.20999999999999988</v>
      </c>
      <c r="F24" s="41">
        <f t="shared" ref="F24" si="8">F23/F8</f>
        <v>-0.23999999999999994</v>
      </c>
      <c r="G24" s="41">
        <f t="shared" ref="G24" si="9">G23/G8</f>
        <v>-0.26999999999999985</v>
      </c>
      <c r="H24" s="41">
        <f t="shared" ref="H24" si="10">H23/H8</f>
        <v>-0.29999999999999993</v>
      </c>
    </row>
    <row r="26" spans="1:11">
      <c r="A26" t="s">
        <v>100</v>
      </c>
      <c r="B26" s="1">
        <f>'Historical &amp; Assumptions'!B18</f>
        <v>-91.6</v>
      </c>
      <c r="C26" s="1">
        <f>'Historical &amp; Assumptions'!C18</f>
        <v>-112.9</v>
      </c>
      <c r="D26" s="1">
        <f>'Historical &amp; Assumptions'!D18</f>
        <v>-89.9</v>
      </c>
      <c r="E26" s="1"/>
      <c r="F26" s="1"/>
      <c r="G26" s="1"/>
      <c r="H26" s="1"/>
    </row>
    <row r="27" spans="1:11">
      <c r="A27" t="s">
        <v>102</v>
      </c>
      <c r="B27" s="12">
        <f>B26/B8</f>
        <v>-0.24387646432374863</v>
      </c>
      <c r="C27" s="12">
        <f t="shared" ref="C27:D27" si="11">C26/C8</f>
        <v>-0.25439387111311401</v>
      </c>
      <c r="D27" s="12">
        <f t="shared" si="11"/>
        <v>-0.18694115200665418</v>
      </c>
      <c r="E27" s="12"/>
      <c r="F27" s="12"/>
      <c r="G27" s="12"/>
      <c r="H27"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E95D4-CD2B-42B4-A69C-1AF74D1E0587}">
  <sheetPr>
    <tabColor theme="5" tint="0.59999389629810485"/>
  </sheetPr>
  <dimension ref="A1:E36"/>
  <sheetViews>
    <sheetView zoomScaleNormal="100" workbookViewId="0">
      <selection activeCell="F18" sqref="F18"/>
    </sheetView>
  </sheetViews>
  <sheetFormatPr defaultRowHeight="15"/>
  <cols>
    <col min="1" max="1" width="48.42578125" customWidth="1"/>
    <col min="2" max="2" width="22.5703125" style="2" bestFit="1" customWidth="1"/>
    <col min="3" max="4" width="12.5703125" style="2" bestFit="1" customWidth="1"/>
    <col min="5" max="5" width="17" style="2" bestFit="1" customWidth="1"/>
  </cols>
  <sheetData>
    <row r="1" spans="1:5">
      <c r="A1" s="63" t="s">
        <v>111</v>
      </c>
    </row>
    <row r="2" spans="1:5">
      <c r="A2" s="75" t="s">
        <v>112</v>
      </c>
      <c r="B2" s="75"/>
    </row>
    <row r="4" spans="1:5">
      <c r="A4" t="s">
        <v>6</v>
      </c>
    </row>
    <row r="5" spans="1:5">
      <c r="A5" s="65" t="s">
        <v>93</v>
      </c>
      <c r="B5" s="67" t="s">
        <v>4</v>
      </c>
      <c r="C5" s="67" t="s">
        <v>113</v>
      </c>
      <c r="D5" s="67" t="s">
        <v>3</v>
      </c>
      <c r="E5" s="67" t="s">
        <v>114</v>
      </c>
    </row>
    <row r="6" spans="1:5">
      <c r="A6" t="s">
        <v>115</v>
      </c>
      <c r="B6" s="68">
        <v>492.35493999999994</v>
      </c>
      <c r="C6" s="68">
        <v>523.55155999999999</v>
      </c>
      <c r="D6" s="69">
        <v>552.65406000000007</v>
      </c>
      <c r="E6" s="68">
        <f>D6-B6</f>
        <v>60.29912000000013</v>
      </c>
    </row>
    <row r="7" spans="1:5">
      <c r="A7" t="s">
        <v>116</v>
      </c>
      <c r="B7" s="69">
        <v>583.49424227588406</v>
      </c>
      <c r="C7" s="69">
        <v>745.86545295194026</v>
      </c>
      <c r="D7" s="69">
        <v>932.63989343183823</v>
      </c>
      <c r="E7" s="68">
        <f t="shared" ref="E7:E11" si="0">D7-B7</f>
        <v>349.14565115595417</v>
      </c>
    </row>
    <row r="8" spans="1:5">
      <c r="A8" t="s">
        <v>117</v>
      </c>
      <c r="B8" s="77">
        <v>0.11642035943065387</v>
      </c>
      <c r="C8" s="77">
        <v>0.18709022021205812</v>
      </c>
      <c r="D8" s="77">
        <v>0.2552987639474853</v>
      </c>
      <c r="E8" s="70">
        <f t="shared" si="0"/>
        <v>0.13887840451683142</v>
      </c>
    </row>
    <row r="9" spans="1:5">
      <c r="A9" t="s">
        <v>118</v>
      </c>
      <c r="B9" s="68">
        <v>367.74090297141288</v>
      </c>
      <c r="C9" s="68">
        <v>469.86217421813393</v>
      </c>
      <c r="D9" s="68">
        <v>595.43745395583824</v>
      </c>
      <c r="E9" s="68">
        <f t="shared" si="0"/>
        <v>227.69655098442536</v>
      </c>
    </row>
    <row r="10" spans="1:5">
      <c r="A10" t="s">
        <v>119</v>
      </c>
      <c r="B10" s="68">
        <v>215.75333930447113</v>
      </c>
      <c r="C10" s="68">
        <v>276.00327873380633</v>
      </c>
      <c r="D10" s="68">
        <v>337.202439476</v>
      </c>
      <c r="E10" s="68">
        <f t="shared" si="0"/>
        <v>121.44910017152887</v>
      </c>
    </row>
    <row r="11" spans="1:5">
      <c r="A11" t="s">
        <v>120</v>
      </c>
      <c r="B11" s="70">
        <f>B9/B7</f>
        <v>0.63023912890221789</v>
      </c>
      <c r="C11" s="70">
        <f t="shared" ref="C11:D11" si="1">C9/C7</f>
        <v>0.6299556741213076</v>
      </c>
      <c r="D11" s="70">
        <f t="shared" si="1"/>
        <v>0.63844304554119491</v>
      </c>
      <c r="E11" s="70">
        <f t="shared" si="0"/>
        <v>8.2039166389770157E-3</v>
      </c>
    </row>
    <row r="13" spans="1:5">
      <c r="A13" s="66" t="s">
        <v>121</v>
      </c>
      <c r="B13" s="67" t="s">
        <v>4</v>
      </c>
      <c r="C13" s="67" t="s">
        <v>113</v>
      </c>
      <c r="D13" s="67" t="s">
        <v>3</v>
      </c>
      <c r="E13" s="67" t="s">
        <v>114</v>
      </c>
    </row>
    <row r="14" spans="1:5">
      <c r="A14" t="s">
        <v>122</v>
      </c>
      <c r="B14" s="71">
        <v>458.04298018656903</v>
      </c>
      <c r="C14" s="71">
        <v>630.25630774438946</v>
      </c>
      <c r="D14" s="71">
        <v>797.40710888422166</v>
      </c>
      <c r="E14" s="71">
        <f>D14-B14</f>
        <v>339.36412869765263</v>
      </c>
    </row>
    <row r="15" spans="1:5">
      <c r="A15" t="s">
        <v>107</v>
      </c>
      <c r="B15" s="72">
        <v>0.78500000000000003</v>
      </c>
      <c r="C15" s="72">
        <v>0.84499999999999997</v>
      </c>
      <c r="D15" s="72">
        <v>0.85499999999999998</v>
      </c>
      <c r="E15" s="70">
        <f>D15-B15</f>
        <v>6.9999999999999951E-2</v>
      </c>
    </row>
    <row r="16" spans="1:5">
      <c r="A16" t="s">
        <v>123</v>
      </c>
      <c r="B16" s="71">
        <v>-175.04827268276517</v>
      </c>
      <c r="C16" s="71">
        <v>11.18798179427904</v>
      </c>
      <c r="D16" s="71">
        <v>79.274390941706201</v>
      </c>
      <c r="E16" s="73">
        <f t="shared" ref="E16:E17" si="2">D16-B16</f>
        <v>254.32266362447137</v>
      </c>
    </row>
    <row r="17" spans="1:5">
      <c r="A17" t="s">
        <v>108</v>
      </c>
      <c r="B17" s="70">
        <v>-0.29999999999999993</v>
      </c>
      <c r="C17" s="70">
        <v>1.4999999999999914E-2</v>
      </c>
      <c r="D17" s="70">
        <v>8.4999999999999951E-2</v>
      </c>
      <c r="E17" s="70">
        <f t="shared" si="2"/>
        <v>0.3849999999999999</v>
      </c>
    </row>
    <row r="18" spans="1:5">
      <c r="A18" t="s">
        <v>124</v>
      </c>
      <c r="B18" s="2" t="s">
        <v>137</v>
      </c>
      <c r="C18" s="2" t="s">
        <v>138</v>
      </c>
      <c r="D18" s="2" t="s">
        <v>138</v>
      </c>
      <c r="E18" s="2" t="s">
        <v>15</v>
      </c>
    </row>
    <row r="19" spans="1:5">
      <c r="A19" t="s">
        <v>125</v>
      </c>
      <c r="B19" s="71">
        <v>633.0912528693342</v>
      </c>
      <c r="C19" s="71">
        <v>619.06832595011042</v>
      </c>
      <c r="D19" s="71">
        <v>718.13271794251546</v>
      </c>
      <c r="E19" s="71">
        <f>D19-B19</f>
        <v>85.041465073181257</v>
      </c>
    </row>
    <row r="21" spans="1:5">
      <c r="A21" s="66" t="s">
        <v>126</v>
      </c>
      <c r="B21" s="67" t="s">
        <v>4</v>
      </c>
      <c r="C21" s="67" t="s">
        <v>113</v>
      </c>
      <c r="D21" s="67" t="s">
        <v>3</v>
      </c>
      <c r="E21" s="67" t="s">
        <v>114</v>
      </c>
    </row>
    <row r="22" spans="1:5">
      <c r="A22" t="s">
        <v>109</v>
      </c>
      <c r="B22" s="31">
        <v>27171.364544999997</v>
      </c>
      <c r="C22" s="31">
        <v>32122.351119999999</v>
      </c>
      <c r="D22" s="31">
        <v>37720.972945000001</v>
      </c>
      <c r="E22" s="31">
        <f>D22-B22</f>
        <v>10549.608400000005</v>
      </c>
    </row>
    <row r="23" spans="1:5">
      <c r="A23" t="s">
        <v>127</v>
      </c>
      <c r="B23" s="76">
        <v>0.34919399390572603</v>
      </c>
      <c r="C23" s="76">
        <v>0.40685185689315029</v>
      </c>
      <c r="D23" s="76">
        <v>0.46450971988057432</v>
      </c>
      <c r="E23" s="70">
        <f>D23-B23</f>
        <v>0.11531572597484829</v>
      </c>
    </row>
    <row r="24" spans="1:5">
      <c r="A24" t="s">
        <v>128</v>
      </c>
      <c r="B24" s="71">
        <v>13534.134524689656</v>
      </c>
      <c r="C24" s="71">
        <v>14627.265995034486</v>
      </c>
      <c r="D24" s="71">
        <v>15785.315368827589</v>
      </c>
      <c r="E24" s="31">
        <f t="shared" ref="E24:E25" si="3">D24-B24</f>
        <v>2251.1808441379326</v>
      </c>
    </row>
    <row r="25" spans="1:5">
      <c r="A25" t="s">
        <v>110</v>
      </c>
      <c r="B25" s="31">
        <v>681203.46759999986</v>
      </c>
      <c r="C25" s="31">
        <v>772417.97672499996</v>
      </c>
      <c r="D25" s="31">
        <v>872500</v>
      </c>
      <c r="E25" s="31">
        <f t="shared" si="3"/>
        <v>191296.53240000014</v>
      </c>
    </row>
    <row r="26" spans="1:5">
      <c r="A26" t="s">
        <v>129</v>
      </c>
      <c r="B26" s="70">
        <v>-0.17108363640788529</v>
      </c>
      <c r="C26" s="70">
        <v>-6.0090074561937261E-2</v>
      </c>
      <c r="D26" s="70">
        <v>6.169384278413239E-2</v>
      </c>
      <c r="E26" s="70">
        <f>D26-B26</f>
        <v>0.23277747919201769</v>
      </c>
    </row>
    <row r="27" spans="1:5">
      <c r="A27" t="s">
        <v>130</v>
      </c>
      <c r="B27" s="71">
        <v>316.72378307850994</v>
      </c>
      <c r="C27" s="71">
        <v>357.32373798968479</v>
      </c>
      <c r="D27" s="71">
        <v>386.47844066017194</v>
      </c>
      <c r="E27" s="73">
        <f>D27-B27</f>
        <v>69.754657581662002</v>
      </c>
    </row>
    <row r="29" spans="1:5">
      <c r="A29" s="66" t="s">
        <v>131</v>
      </c>
      <c r="B29" s="67" t="s">
        <v>4</v>
      </c>
      <c r="C29" s="67" t="s">
        <v>113</v>
      </c>
      <c r="D29" s="67" t="s">
        <v>3</v>
      </c>
      <c r="E29" s="67" t="s">
        <v>114</v>
      </c>
    </row>
    <row r="30" spans="1:5">
      <c r="A30" t="s">
        <v>132</v>
      </c>
      <c r="B30" s="70">
        <v>2.4081640683170797</v>
      </c>
      <c r="C30" s="70">
        <v>3.3546077314006846</v>
      </c>
      <c r="D30" s="70">
        <v>4.5184194064489178</v>
      </c>
      <c r="E30" s="74">
        <f>D30-B30</f>
        <v>2.1102553381318381</v>
      </c>
    </row>
    <row r="31" spans="1:5">
      <c r="A31" t="s">
        <v>133</v>
      </c>
      <c r="B31" s="70">
        <v>-0.19404804144762369</v>
      </c>
      <c r="C31" s="70">
        <v>3.1017103973874999E-2</v>
      </c>
      <c r="D31" s="70">
        <v>0.25962808918939112</v>
      </c>
      <c r="E31" s="74">
        <f>D31-B31</f>
        <v>0.45367613063701484</v>
      </c>
    </row>
    <row r="32" spans="1:5">
      <c r="A32" t="s">
        <v>134</v>
      </c>
      <c r="B32" s="70">
        <v>0.55349904759287549</v>
      </c>
      <c r="C32" s="70">
        <v>0.9857972655802455</v>
      </c>
      <c r="D32" s="70">
        <v>1.4830668089239567</v>
      </c>
      <c r="E32" s="74">
        <f>D32-B32</f>
        <v>0.92956776133108121</v>
      </c>
    </row>
    <row r="33" spans="1:5">
      <c r="A33" t="s">
        <v>139</v>
      </c>
      <c r="B33" s="72">
        <v>1.0785053136784344E-2</v>
      </c>
      <c r="C33" s="72">
        <v>8.8042509427493892E-2</v>
      </c>
      <c r="D33" s="72">
        <v>0.10091875214261217</v>
      </c>
      <c r="E33" s="72">
        <f>D33-B33</f>
        <v>9.0133699005827822E-2</v>
      </c>
    </row>
    <row r="34" spans="1:5" ht="16.5" customHeight="1"/>
    <row r="35" spans="1:5">
      <c r="A35" s="66" t="s">
        <v>135</v>
      </c>
    </row>
    <row r="36" spans="1:5" ht="255">
      <c r="A36" s="64" t="s">
        <v>136</v>
      </c>
    </row>
  </sheetData>
  <mergeCells count="1">
    <mergeCell ref="A2: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78F-A887-4BB2-A249-0555F3201656}">
  <sheetPr>
    <tabColor theme="8"/>
  </sheetPr>
  <dimension ref="A1:A23"/>
  <sheetViews>
    <sheetView workbookViewId="0">
      <selection activeCell="B17" sqref="B17"/>
    </sheetView>
  </sheetViews>
  <sheetFormatPr defaultRowHeight="15"/>
  <cols>
    <col min="1" max="1" width="69" bestFit="1" customWidth="1"/>
  </cols>
  <sheetData>
    <row r="1" spans="1:1">
      <c r="A1" s="63" t="s">
        <v>140</v>
      </c>
    </row>
    <row r="2" spans="1:1">
      <c r="A2" t="s">
        <v>141</v>
      </c>
    </row>
    <row r="4" spans="1:1">
      <c r="A4" s="10" t="s">
        <v>142</v>
      </c>
    </row>
    <row r="5" spans="1:1" ht="150">
      <c r="A5" s="78" t="s">
        <v>143</v>
      </c>
    </row>
    <row r="7" spans="1:1">
      <c r="A7" s="79" t="s">
        <v>144</v>
      </c>
    </row>
    <row r="8" spans="1:1" ht="150">
      <c r="A8" s="78" t="s">
        <v>145</v>
      </c>
    </row>
    <row r="10" spans="1:1">
      <c r="A10" s="10" t="s">
        <v>146</v>
      </c>
    </row>
    <row r="11" spans="1:1" ht="165">
      <c r="A11" s="78" t="s">
        <v>147</v>
      </c>
    </row>
    <row r="13" spans="1:1">
      <c r="A13" s="80" t="s">
        <v>148</v>
      </c>
    </row>
    <row r="14" spans="1:1" ht="195">
      <c r="A14" s="78" t="s">
        <v>149</v>
      </c>
    </row>
    <row r="16" spans="1:1">
      <c r="A16" s="27" t="s">
        <v>150</v>
      </c>
    </row>
    <row r="17" spans="1:1" ht="195">
      <c r="A17" s="78" t="s">
        <v>151</v>
      </c>
    </row>
    <row r="19" spans="1:1">
      <c r="A19" s="27" t="s">
        <v>152</v>
      </c>
    </row>
    <row r="20" spans="1:1" ht="210">
      <c r="A20" s="78" t="s">
        <v>153</v>
      </c>
    </row>
    <row r="22" spans="1:1">
      <c r="A22" s="27" t="s">
        <v>154</v>
      </c>
    </row>
    <row r="23" spans="1:1" ht="105">
      <c r="A23" s="78"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Historical &amp; Assumptions</vt:lpstr>
      <vt:lpstr>Sales-Assisted Revenue</vt:lpstr>
      <vt:lpstr>Self-Serve Revenue</vt:lpstr>
      <vt:lpstr>Combined P&amp;L</vt:lpstr>
      <vt:lpstr>Scenarios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Dabi Njere</dc:creator>
  <cp:lastModifiedBy>Dabi Njere</cp:lastModifiedBy>
  <dcterms:created xsi:type="dcterms:W3CDTF">2026-04-26T21:01:45Z</dcterms:created>
  <dcterms:modified xsi:type="dcterms:W3CDTF">2026-05-02T07:47:02Z</dcterms:modified>
</cp:coreProperties>
</file>