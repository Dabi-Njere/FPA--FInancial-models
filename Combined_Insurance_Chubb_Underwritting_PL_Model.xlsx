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dcd43ffb156b6104/Documents/"/>
    </mc:Choice>
  </mc:AlternateContent>
  <xr:revisionPtr revIDLastSave="1127" documentId="8_{3D5B7938-74D0-44E9-95D9-B678E39D2B2A}" xr6:coauthVersionLast="47" xr6:coauthVersionMax="47" xr10:uidLastSave="{B7DD7A30-1377-4CF4-95A9-945082B089B3}"/>
  <bookViews>
    <workbookView xWindow="2660" yWindow="2660" windowWidth="17280" windowHeight="11230" xr2:uid="{771D9D10-90BD-4820-9836-732F20462CF6}"/>
  </bookViews>
  <sheets>
    <sheet name="ACTUALS" sheetId="1" r:id="rId1"/>
    <sheet name="ASSUMPTIONS" sheetId="2" r:id="rId2"/>
    <sheet name="REVENUE" sheetId="3" r:id="rId3"/>
    <sheet name="P&amp;L" sheetId="4" r:id="rId4"/>
    <sheet name="INSIGHT" sheetId="6"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37" i="2" l="1"/>
  <c r="B38" i="2"/>
  <c r="B36" i="2"/>
  <c r="B18" i="2"/>
  <c r="B19" i="2"/>
  <c r="B17" i="2"/>
  <c r="D18" i="2"/>
  <c r="D19" i="2"/>
  <c r="D17" i="2"/>
  <c r="R5" i="1"/>
  <c r="R11" i="1"/>
  <c r="R17" i="1"/>
  <c r="Q18" i="1"/>
  <c r="Q19" i="1"/>
  <c r="Q20" i="1"/>
  <c r="Q21" i="1"/>
  <c r="Q17" i="1"/>
  <c r="Q12" i="1"/>
  <c r="Q13" i="1"/>
  <c r="Q14" i="1"/>
  <c r="Q15" i="1"/>
  <c r="Q11" i="1"/>
  <c r="Q6" i="1"/>
  <c r="Q7" i="1"/>
  <c r="Q8" i="1"/>
  <c r="Q9" i="1"/>
  <c r="Q5" i="1"/>
  <c r="G20" i="4"/>
  <c r="H20" i="4" s="1"/>
  <c r="I20" i="4" s="1"/>
  <c r="F20" i="4"/>
  <c r="E20" i="4"/>
  <c r="D20" i="4"/>
  <c r="C20" i="4"/>
  <c r="B20" i="4"/>
  <c r="G19" i="4"/>
  <c r="H19" i="4" s="1"/>
  <c r="I19" i="4" s="1"/>
  <c r="F19" i="4"/>
  <c r="E19" i="4"/>
  <c r="D19" i="4"/>
  <c r="C19" i="4"/>
  <c r="C21" i="4" s="1"/>
  <c r="B19" i="4"/>
  <c r="G18" i="4"/>
  <c r="F18" i="4"/>
  <c r="E18" i="4"/>
  <c r="D18" i="4"/>
  <c r="C18" i="4"/>
  <c r="B18" i="4"/>
  <c r="G14" i="4"/>
  <c r="F14" i="4"/>
  <c r="E14" i="4"/>
  <c r="D14" i="4"/>
  <c r="C14" i="4"/>
  <c r="B14" i="4"/>
  <c r="G13" i="4"/>
  <c r="F13" i="4"/>
  <c r="E13" i="4"/>
  <c r="D13" i="4"/>
  <c r="C13" i="4"/>
  <c r="B13" i="4"/>
  <c r="G12" i="4"/>
  <c r="F12" i="4"/>
  <c r="E12" i="4"/>
  <c r="D12" i="4"/>
  <c r="C12" i="4"/>
  <c r="B12" i="4"/>
  <c r="I44" i="4"/>
  <c r="C21" i="3"/>
  <c r="D21" i="3"/>
  <c r="E21" i="3"/>
  <c r="F21" i="3"/>
  <c r="F27" i="3" s="1"/>
  <c r="F30" i="3" s="1"/>
  <c r="G21" i="3"/>
  <c r="B21" i="3"/>
  <c r="B27" i="3"/>
  <c r="C30" i="3" s="1"/>
  <c r="C27" i="3"/>
  <c r="D27" i="3"/>
  <c r="D30" i="3" s="1"/>
  <c r="E27" i="3"/>
  <c r="E30" i="3" s="1"/>
  <c r="C26" i="3"/>
  <c r="D26" i="3"/>
  <c r="E26" i="3"/>
  <c r="F26" i="3"/>
  <c r="G26" i="3"/>
  <c r="B26" i="3"/>
  <c r="C14" i="3"/>
  <c r="D14" i="3"/>
  <c r="E14" i="3"/>
  <c r="F14" i="3"/>
  <c r="G14" i="3"/>
  <c r="B14" i="3"/>
  <c r="C7" i="3"/>
  <c r="D7" i="3"/>
  <c r="E7" i="3"/>
  <c r="F7" i="3"/>
  <c r="G7" i="3"/>
  <c r="B7" i="3"/>
  <c r="G6" i="3"/>
  <c r="F6" i="3"/>
  <c r="E6" i="3"/>
  <c r="D6" i="3"/>
  <c r="C6" i="3"/>
  <c r="B6" i="3"/>
  <c r="B6" i="2"/>
  <c r="B7" i="2"/>
  <c r="B9" i="2"/>
  <c r="B10" i="2"/>
  <c r="B11" i="2"/>
  <c r="B13" i="2"/>
  <c r="B14" i="2"/>
  <c r="B15" i="2"/>
  <c r="D6" i="2"/>
  <c r="D7" i="2"/>
  <c r="D9" i="2"/>
  <c r="D10" i="2"/>
  <c r="D11" i="2"/>
  <c r="D13" i="2"/>
  <c r="D14" i="2"/>
  <c r="D15" i="2"/>
  <c r="D5" i="2"/>
  <c r="B5" i="2"/>
  <c r="B35" i="2"/>
  <c r="D22" i="3" s="1"/>
  <c r="D23" i="3" s="1"/>
  <c r="D7" i="4" s="1"/>
  <c r="D38" i="4" s="1"/>
  <c r="B33" i="2"/>
  <c r="B34" i="2"/>
  <c r="B32" i="2"/>
  <c r="B31" i="2"/>
  <c r="B30" i="2"/>
  <c r="H20" i="3" s="1"/>
  <c r="B29" i="2"/>
  <c r="H6" i="3" s="1"/>
  <c r="I6" i="3" s="1"/>
  <c r="B27" i="2"/>
  <c r="H12" i="3" s="1"/>
  <c r="I12" i="3" s="1"/>
  <c r="B28" i="2"/>
  <c r="H19" i="3" s="1"/>
  <c r="I19" i="3" s="1"/>
  <c r="B26" i="2"/>
  <c r="H5" i="3" s="1"/>
  <c r="M5" i="1"/>
  <c r="N11" i="1"/>
  <c r="K26" i="1"/>
  <c r="K27" i="1"/>
  <c r="K28" i="1"/>
  <c r="K29" i="1"/>
  <c r="K30" i="1"/>
  <c r="K25" i="1"/>
  <c r="J30" i="1"/>
  <c r="J29" i="1"/>
  <c r="J28" i="1"/>
  <c r="J27" i="1"/>
  <c r="J26" i="1"/>
  <c r="J25" i="1"/>
  <c r="F25" i="1"/>
  <c r="M6" i="1"/>
  <c r="M7" i="1"/>
  <c r="M8" i="1"/>
  <c r="M9" i="1"/>
  <c r="M11" i="1"/>
  <c r="M12" i="1"/>
  <c r="M13" i="1"/>
  <c r="M14" i="1"/>
  <c r="M15" i="1"/>
  <c r="M17" i="1"/>
  <c r="M18" i="1"/>
  <c r="M19" i="1"/>
  <c r="M20" i="1"/>
  <c r="M21" i="1"/>
  <c r="E4" i="1"/>
  <c r="G4" i="1" s="1"/>
  <c r="C25" i="1" a="1"/>
  <c r="C25" i="1" s="1"/>
  <c r="C26" i="1" a="1"/>
  <c r="C26" i="1" s="1"/>
  <c r="C27" i="1" a="1"/>
  <c r="C27" i="1" s="1"/>
  <c r="C28" i="1" a="1"/>
  <c r="C28" i="1" s="1"/>
  <c r="C29" i="1" a="1"/>
  <c r="C29" i="1" s="1"/>
  <c r="C30" i="1" a="1"/>
  <c r="C30" i="1" s="1"/>
  <c r="E5" i="1"/>
  <c r="G5" i="1" s="1"/>
  <c r="E6" i="1"/>
  <c r="G6" i="1" s="1"/>
  <c r="J6" i="1" s="1"/>
  <c r="L6" i="1" s="1"/>
  <c r="E7" i="1"/>
  <c r="G7" i="1"/>
  <c r="H7" i="1" s="1"/>
  <c r="P7" i="1" s="1"/>
  <c r="E8" i="1"/>
  <c r="O8" i="1" s="1"/>
  <c r="G8" i="1"/>
  <c r="J8" i="1" s="1"/>
  <c r="L8" i="1" s="1"/>
  <c r="E9" i="1"/>
  <c r="G9" i="1" s="1"/>
  <c r="J9" i="1" s="1"/>
  <c r="L9" i="1" s="1"/>
  <c r="E10" i="1"/>
  <c r="E11" i="1"/>
  <c r="G11" i="1" s="1"/>
  <c r="J11" i="1" s="1"/>
  <c r="L11" i="1" s="1"/>
  <c r="E12" i="1"/>
  <c r="G12" i="1"/>
  <c r="H12" i="1" s="1"/>
  <c r="I12" i="1" s="1"/>
  <c r="E13" i="1"/>
  <c r="G13" i="1" s="1"/>
  <c r="E14" i="1"/>
  <c r="G14" i="1"/>
  <c r="E15" i="1"/>
  <c r="O15" i="1" s="1"/>
  <c r="G15" i="1"/>
  <c r="E16" i="1"/>
  <c r="G16" i="1" s="1"/>
  <c r="H16" i="1" s="1"/>
  <c r="P16" i="1" s="1"/>
  <c r="E17" i="1"/>
  <c r="G17" i="1" s="1"/>
  <c r="J17" i="1" s="1"/>
  <c r="L17" i="1" s="1"/>
  <c r="E18" i="1"/>
  <c r="G18" i="1"/>
  <c r="J18" i="1" s="1"/>
  <c r="L18" i="1" s="1"/>
  <c r="E19" i="1"/>
  <c r="G19" i="1" s="1"/>
  <c r="J19" i="1" s="1"/>
  <c r="L19" i="1" s="1"/>
  <c r="E20" i="1"/>
  <c r="G20" i="1" s="1"/>
  <c r="H20" i="1" s="1"/>
  <c r="I20" i="1" s="1"/>
  <c r="E21" i="1"/>
  <c r="G21" i="1"/>
  <c r="H21" i="1" s="1"/>
  <c r="P21" i="1" s="1"/>
  <c r="D33" i="4" l="1"/>
  <c r="D43" i="4" s="1"/>
  <c r="B21" i="4"/>
  <c r="H12" i="4"/>
  <c r="I12" i="4" s="1"/>
  <c r="G15" i="4"/>
  <c r="D21" i="4"/>
  <c r="F21" i="4"/>
  <c r="D15" i="4"/>
  <c r="E15" i="4"/>
  <c r="G21" i="4"/>
  <c r="F15" i="4"/>
  <c r="H13" i="4"/>
  <c r="C15" i="4"/>
  <c r="D26" i="4"/>
  <c r="E21" i="4"/>
  <c r="B15" i="4"/>
  <c r="H18" i="4"/>
  <c r="H14" i="4"/>
  <c r="H21" i="3"/>
  <c r="I20" i="3"/>
  <c r="I21" i="3" s="1"/>
  <c r="H26" i="3"/>
  <c r="H7" i="3"/>
  <c r="H8" i="3" s="1"/>
  <c r="I5" i="3"/>
  <c r="I7" i="3" s="1"/>
  <c r="C22" i="3"/>
  <c r="C23" i="3" s="1"/>
  <c r="B8" i="3"/>
  <c r="H13" i="3"/>
  <c r="G8" i="3"/>
  <c r="G9" i="3" s="1"/>
  <c r="G5" i="4" s="1"/>
  <c r="B22" i="3"/>
  <c r="B23" i="3" s="1"/>
  <c r="F8" i="3"/>
  <c r="G15" i="3"/>
  <c r="G16" i="3" s="1"/>
  <c r="G6" i="4" s="1"/>
  <c r="E8" i="3"/>
  <c r="F15" i="3"/>
  <c r="F16" i="3" s="1"/>
  <c r="F6" i="4" s="1"/>
  <c r="D8" i="3"/>
  <c r="E15" i="3"/>
  <c r="E16" i="3" s="1"/>
  <c r="E6" i="4" s="1"/>
  <c r="G22" i="3"/>
  <c r="G23" i="3" s="1"/>
  <c r="G7" i="4" s="1"/>
  <c r="C8" i="3"/>
  <c r="C9" i="3" s="1"/>
  <c r="C5" i="4" s="1"/>
  <c r="D15" i="3"/>
  <c r="D16" i="3" s="1"/>
  <c r="D6" i="4" s="1"/>
  <c r="F22" i="3"/>
  <c r="F23" i="3" s="1"/>
  <c r="F7" i="4" s="1"/>
  <c r="C15" i="3"/>
  <c r="C16" i="3" s="1"/>
  <c r="C6" i="4" s="1"/>
  <c r="C37" i="4" s="1"/>
  <c r="E22" i="3"/>
  <c r="E23" i="3" s="1"/>
  <c r="E7" i="4" s="1"/>
  <c r="B15" i="3"/>
  <c r="B16" i="3" s="1"/>
  <c r="B6" i="4" s="1"/>
  <c r="G27" i="3"/>
  <c r="G30" i="3" s="1"/>
  <c r="O21" i="1"/>
  <c r="P20" i="1"/>
  <c r="N13" i="1"/>
  <c r="J13" i="1"/>
  <c r="L13" i="1" s="1"/>
  <c r="N14" i="1"/>
  <c r="O14" i="1"/>
  <c r="O7" i="1"/>
  <c r="P12" i="1"/>
  <c r="O13" i="1"/>
  <c r="J12" i="1"/>
  <c r="L12" i="1" s="1"/>
  <c r="O18" i="1"/>
  <c r="H15" i="1"/>
  <c r="N20" i="1"/>
  <c r="H6" i="1"/>
  <c r="N19" i="1"/>
  <c r="J15" i="1"/>
  <c r="L15" i="1" s="1"/>
  <c r="N18" i="1"/>
  <c r="N21" i="1"/>
  <c r="O17" i="1"/>
  <c r="G10" i="1"/>
  <c r="H10" i="1" s="1"/>
  <c r="P10" i="1" s="1"/>
  <c r="J14" i="1"/>
  <c r="L14" i="1" s="1"/>
  <c r="N7" i="1"/>
  <c r="J4" i="1"/>
  <c r="L4" i="1" s="1"/>
  <c r="N6" i="1"/>
  <c r="H5" i="1"/>
  <c r="J5" i="1"/>
  <c r="L5" i="1" s="1"/>
  <c r="N5" i="1"/>
  <c r="N12" i="1"/>
  <c r="N8" i="1"/>
  <c r="J16" i="1"/>
  <c r="L16" i="1" s="1"/>
  <c r="I21" i="1"/>
  <c r="N17" i="1"/>
  <c r="J20" i="1"/>
  <c r="L20" i="1" s="1"/>
  <c r="I7" i="1"/>
  <c r="O11" i="1"/>
  <c r="N15" i="1"/>
  <c r="B28" i="1" a="1"/>
  <c r="B28" i="1" s="1"/>
  <c r="I16" i="1"/>
  <c r="O20" i="1"/>
  <c r="O6" i="1"/>
  <c r="N9" i="1"/>
  <c r="J21" i="1"/>
  <c r="L21" i="1" s="1"/>
  <c r="O5" i="1"/>
  <c r="O12" i="1"/>
  <c r="J7" i="1"/>
  <c r="L7" i="1" s="1"/>
  <c r="O19" i="1"/>
  <c r="O9" i="1"/>
  <c r="H11" i="1"/>
  <c r="H19" i="1"/>
  <c r="H14" i="1"/>
  <c r="H17" i="1"/>
  <c r="H13" i="1"/>
  <c r="P13" i="1" s="1"/>
  <c r="B26" i="1" a="1"/>
  <c r="B26" i="1" s="1"/>
  <c r="H9" i="1"/>
  <c r="H18" i="1"/>
  <c r="H8" i="1"/>
  <c r="P8" i="1" s="1"/>
  <c r="B29" i="1" a="1"/>
  <c r="B29" i="1" s="1"/>
  <c r="B25" i="1" a="1"/>
  <c r="B25" i="1" s="1"/>
  <c r="B27" i="1" a="1"/>
  <c r="B27" i="1" s="1"/>
  <c r="B30" i="1" a="1"/>
  <c r="B30" i="1" s="1"/>
  <c r="D25" i="4" l="1"/>
  <c r="D32" i="4"/>
  <c r="D37" i="4"/>
  <c r="G24" i="4"/>
  <c r="G31" i="4"/>
  <c r="G36" i="4"/>
  <c r="I14" i="4"/>
  <c r="I18" i="4"/>
  <c r="E32" i="4"/>
  <c r="E37" i="4"/>
  <c r="B25" i="4"/>
  <c r="B37" i="4"/>
  <c r="B32" i="4"/>
  <c r="B42" i="4" s="1"/>
  <c r="E38" i="4"/>
  <c r="E33" i="4"/>
  <c r="E43" i="4" s="1"/>
  <c r="G32" i="4"/>
  <c r="G37" i="4"/>
  <c r="I13" i="4"/>
  <c r="C36" i="4"/>
  <c r="C31" i="4"/>
  <c r="G33" i="4"/>
  <c r="G38" i="4"/>
  <c r="F37" i="4"/>
  <c r="F32" i="4"/>
  <c r="F42" i="4" s="1"/>
  <c r="F33" i="4"/>
  <c r="F38" i="4"/>
  <c r="H15" i="4"/>
  <c r="F25" i="4"/>
  <c r="F26" i="4"/>
  <c r="C24" i="4"/>
  <c r="E26" i="4"/>
  <c r="G25" i="4"/>
  <c r="C25" i="4"/>
  <c r="G26" i="4"/>
  <c r="E25" i="4"/>
  <c r="I8" i="3"/>
  <c r="I9" i="3" s="1"/>
  <c r="I5" i="4" s="1"/>
  <c r="F28" i="3"/>
  <c r="F9" i="3"/>
  <c r="B7" i="4"/>
  <c r="G8" i="4"/>
  <c r="D28" i="3"/>
  <c r="D9" i="3"/>
  <c r="I13" i="3"/>
  <c r="I14" i="3" s="1"/>
  <c r="I27" i="3" s="1"/>
  <c r="H14" i="3"/>
  <c r="B9" i="3"/>
  <c r="B5" i="4" s="1"/>
  <c r="B28" i="3"/>
  <c r="H22" i="3"/>
  <c r="H23" i="3" s="1"/>
  <c r="H7" i="4" s="1"/>
  <c r="H33" i="4" s="1"/>
  <c r="H9" i="3"/>
  <c r="E28" i="3"/>
  <c r="E9" i="3"/>
  <c r="I26" i="3"/>
  <c r="G29" i="3"/>
  <c r="G28" i="3"/>
  <c r="I22" i="3"/>
  <c r="I23" i="3" s="1"/>
  <c r="I7" i="4" s="1"/>
  <c r="C28" i="3"/>
  <c r="C29" i="3"/>
  <c r="C7" i="4"/>
  <c r="D29" i="1" a="1"/>
  <c r="D29" i="1" s="1"/>
  <c r="E29" i="1" s="1"/>
  <c r="D26" i="1" a="1"/>
  <c r="D26" i="1" s="1"/>
  <c r="E26" i="1" s="1"/>
  <c r="I8" i="1"/>
  <c r="D25" i="1" a="1"/>
  <c r="D25" i="1" s="1"/>
  <c r="E25" i="1" s="1"/>
  <c r="I17" i="1"/>
  <c r="P17" i="1"/>
  <c r="I14" i="1"/>
  <c r="I29" i="1" s="1"/>
  <c r="P14" i="1"/>
  <c r="I15" i="1"/>
  <c r="P15" i="1"/>
  <c r="F30" i="1"/>
  <c r="P9" i="1"/>
  <c r="D28" i="1" a="1"/>
  <c r="D28" i="1" s="1"/>
  <c r="E28" i="1" s="1"/>
  <c r="I19" i="1"/>
  <c r="P19" i="1"/>
  <c r="I11" i="1"/>
  <c r="P11" i="1"/>
  <c r="I5" i="1"/>
  <c r="I26" i="1" s="1"/>
  <c r="P5" i="1"/>
  <c r="I18" i="1"/>
  <c r="P18" i="1"/>
  <c r="J10" i="1"/>
  <c r="L10" i="1" s="1"/>
  <c r="I10" i="1"/>
  <c r="I6" i="1"/>
  <c r="P6" i="1"/>
  <c r="D30" i="1" a="1"/>
  <c r="D30" i="1" s="1"/>
  <c r="E30" i="1" s="1"/>
  <c r="D27" i="1" a="1"/>
  <c r="D27" i="1" s="1"/>
  <c r="E27" i="1" s="1"/>
  <c r="F26" i="1"/>
  <c r="G26" i="1" s="1"/>
  <c r="H26" i="1" s="1"/>
  <c r="I9" i="1"/>
  <c r="I30" i="1" s="1"/>
  <c r="F28" i="1"/>
  <c r="I13" i="1"/>
  <c r="F27" i="1"/>
  <c r="I28" i="1"/>
  <c r="F29" i="1"/>
  <c r="G29" i="1" s="1"/>
  <c r="H29" i="1" s="1"/>
  <c r="H4" i="1"/>
  <c r="P4" i="1" s="1"/>
  <c r="H5" i="4" l="1"/>
  <c r="H24" i="4" s="1"/>
  <c r="F43" i="4"/>
  <c r="C41" i="4"/>
  <c r="I33" i="4"/>
  <c r="G43" i="4"/>
  <c r="B26" i="4"/>
  <c r="B38" i="4"/>
  <c r="B33" i="4"/>
  <c r="B43" i="4" s="1"/>
  <c r="I15" i="4"/>
  <c r="D42" i="4"/>
  <c r="I26" i="4"/>
  <c r="I38" i="4"/>
  <c r="G41" i="4"/>
  <c r="I24" i="4"/>
  <c r="E42" i="4"/>
  <c r="I21" i="4"/>
  <c r="I36" i="4"/>
  <c r="G42" i="4"/>
  <c r="G39" i="4"/>
  <c r="G34" i="4"/>
  <c r="C38" i="4"/>
  <c r="C33" i="4"/>
  <c r="H26" i="4"/>
  <c r="H38" i="4"/>
  <c r="H43" i="4" s="1"/>
  <c r="B24" i="4"/>
  <c r="B27" i="4" s="1"/>
  <c r="B45" i="4" s="1"/>
  <c r="B31" i="4"/>
  <c r="B36" i="4"/>
  <c r="I31" i="4"/>
  <c r="G27" i="4"/>
  <c r="G45" i="4" s="1"/>
  <c r="C8" i="4"/>
  <c r="C26" i="4"/>
  <c r="C27" i="4" s="1"/>
  <c r="C45" i="4" s="1"/>
  <c r="B8" i="4"/>
  <c r="E29" i="3"/>
  <c r="E5" i="4"/>
  <c r="B29" i="3"/>
  <c r="D29" i="3"/>
  <c r="D5" i="4"/>
  <c r="F5" i="4"/>
  <c r="F29" i="3"/>
  <c r="H27" i="3"/>
  <c r="H30" i="3" s="1"/>
  <c r="H15" i="3"/>
  <c r="I15" i="3"/>
  <c r="I28" i="3" s="1"/>
  <c r="G28" i="1"/>
  <c r="H28" i="1" s="1"/>
  <c r="G30" i="1"/>
  <c r="H30" i="1" s="1"/>
  <c r="I27" i="1"/>
  <c r="G27" i="1"/>
  <c r="H27" i="1" s="1"/>
  <c r="G25" i="1"/>
  <c r="H25" i="1" s="1"/>
  <c r="I4" i="1"/>
  <c r="I25" i="1" s="1"/>
  <c r="I41" i="4" l="1"/>
  <c r="H36" i="4"/>
  <c r="H31" i="4"/>
  <c r="D24" i="4"/>
  <c r="D27" i="4" s="1"/>
  <c r="D31" i="4"/>
  <c r="D36" i="4"/>
  <c r="B41" i="4"/>
  <c r="F24" i="4"/>
  <c r="F27" i="4" s="1"/>
  <c r="F36" i="4"/>
  <c r="F31" i="4"/>
  <c r="F41" i="4" s="1"/>
  <c r="E24" i="4"/>
  <c r="E27" i="4" s="1"/>
  <c r="E31" i="4"/>
  <c r="E36" i="4"/>
  <c r="B34" i="4"/>
  <c r="C32" i="4"/>
  <c r="C42" i="4" s="1"/>
  <c r="B39" i="4"/>
  <c r="C39" i="4"/>
  <c r="C34" i="4"/>
  <c r="H41" i="4"/>
  <c r="C43" i="4"/>
  <c r="I43" i="4"/>
  <c r="C9" i="4"/>
  <c r="I16" i="3"/>
  <c r="I29" i="3" s="1"/>
  <c r="I6" i="4"/>
  <c r="E8" i="4"/>
  <c r="H28" i="3"/>
  <c r="H16" i="3"/>
  <c r="F8" i="4"/>
  <c r="D8" i="4"/>
  <c r="I30" i="3"/>
  <c r="E45" i="4" l="1"/>
  <c r="E41" i="4"/>
  <c r="F45" i="4"/>
  <c r="E39" i="4"/>
  <c r="E34" i="4"/>
  <c r="I25" i="4"/>
  <c r="I27" i="4" s="1"/>
  <c r="I37" i="4"/>
  <c r="I32" i="4"/>
  <c r="I42" i="4" s="1"/>
  <c r="D41" i="4"/>
  <c r="D39" i="4"/>
  <c r="D34" i="4"/>
  <c r="F39" i="4"/>
  <c r="F34" i="4"/>
  <c r="E44" i="4" s="1"/>
  <c r="D45" i="4"/>
  <c r="E9" i="4"/>
  <c r="F9" i="4"/>
  <c r="G9" i="4"/>
  <c r="I8" i="4"/>
  <c r="H29" i="3"/>
  <c r="H6" i="4"/>
  <c r="D9" i="4"/>
  <c r="I45" i="4" l="1"/>
  <c r="H25" i="4"/>
  <c r="H27" i="4" s="1"/>
  <c r="H37" i="4"/>
  <c r="H32" i="4"/>
  <c r="H42" i="4" s="1"/>
  <c r="I39" i="4"/>
  <c r="I34" i="4"/>
  <c r="H44" i="4" s="1"/>
  <c r="C44" i="4"/>
  <c r="B44" i="4"/>
  <c r="H21" i="4"/>
  <c r="H39" i="4" s="1"/>
  <c r="D44" i="4"/>
  <c r="H8" i="4"/>
  <c r="H45" i="4" l="1"/>
  <c r="I9" i="4"/>
  <c r="H34" i="4"/>
  <c r="G44" i="4"/>
  <c r="H9" i="4"/>
  <c r="F44"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<sst xmlns="http://schemas.openxmlformats.org/spreadsheetml/2006/main" count="188" uniqueCount="126">
  <si>
    <t>Year</t>
  </si>
  <si>
    <t>Product Line</t>
  </si>
  <si>
    <t>Policies in Force</t>
  </si>
  <si>
    <t>Avg Premium</t>
  </si>
  <si>
    <t>Gross Written Premium</t>
  </si>
  <si>
    <t>Claims Paid</t>
  </si>
  <si>
    <t>Net Earned Premium</t>
  </si>
  <si>
    <t>Loss Ratio</t>
  </si>
  <si>
    <t>Expense Ratio</t>
  </si>
  <si>
    <t>Combined Ratio</t>
  </si>
  <si>
    <t>Accident &amp; Health</t>
  </si>
  <si>
    <t>Life</t>
  </si>
  <si>
    <t>Disability</t>
  </si>
  <si>
    <t>YEAR TOTALS</t>
  </si>
  <si>
    <t>GWP</t>
  </si>
  <si>
    <t>Operating expense</t>
  </si>
  <si>
    <t>Operating Expense</t>
  </si>
  <si>
    <t>Expense ratio</t>
  </si>
  <si>
    <t>Underwriting income</t>
  </si>
  <si>
    <t>Underwriting  Income</t>
  </si>
  <si>
    <t>Policy Growth Rate</t>
  </si>
  <si>
    <t>GWP Growth</t>
  </si>
  <si>
    <t>-</t>
  </si>
  <si>
    <t>Premium Growth rate</t>
  </si>
  <si>
    <t>BEAR</t>
  </si>
  <si>
    <t>BASE</t>
  </si>
  <si>
    <t>BULL</t>
  </si>
  <si>
    <t>SCENARIO TOGGLE</t>
  </si>
  <si>
    <t>Active Scenario</t>
  </si>
  <si>
    <t>Base</t>
  </si>
  <si>
    <t>MODEL ASSUMPTIONS</t>
  </si>
  <si>
    <t>Cost per policy</t>
  </si>
  <si>
    <t>Avg A&amp;H Pol%</t>
  </si>
  <si>
    <t>Avg Life Pol%</t>
  </si>
  <si>
    <t>Avg Disability Pol %</t>
  </si>
  <si>
    <t>Avg A&amp;H Premium%</t>
  </si>
  <si>
    <t>Avg Life Premium%</t>
  </si>
  <si>
    <t>Avg Disability Premium%</t>
  </si>
  <si>
    <t>Avg A&amp;H claims %</t>
  </si>
  <si>
    <t>Avg Life claims %</t>
  </si>
  <si>
    <t>Avg Disability claims %</t>
  </si>
  <si>
    <t>Historical Actuals</t>
  </si>
  <si>
    <t>Avg premium</t>
  </si>
  <si>
    <t>Polices in force</t>
  </si>
  <si>
    <t>Historical Data Growth rates (2019 -2024)</t>
  </si>
  <si>
    <t>Reinsurance Rate</t>
  </si>
  <si>
    <t>Reinsurance rate %</t>
  </si>
  <si>
    <t>COMBINED INSURANCE (CHUBB) — REVENUE FORECAST 2019-2026</t>
  </si>
  <si>
    <t>2019 A</t>
  </si>
  <si>
    <t>2020 A</t>
  </si>
  <si>
    <t>2021 A</t>
  </si>
  <si>
    <t>2022 A</t>
  </si>
  <si>
    <t>2023 A</t>
  </si>
  <si>
    <t>2024 A</t>
  </si>
  <si>
    <t>2025 F</t>
  </si>
  <si>
    <t>2026 F</t>
  </si>
  <si>
    <t>ACCIDENT &amp; HEALTH</t>
  </si>
  <si>
    <t>Reinsurance Ceded</t>
  </si>
  <si>
    <t>LIFE</t>
  </si>
  <si>
    <t>DISABILITY</t>
  </si>
  <si>
    <t>TOTAL COMPANY</t>
  </si>
  <si>
    <t>Total Policies in Force</t>
  </si>
  <si>
    <t>Total GWP</t>
  </si>
  <si>
    <t>Total Reinsurance Ceded</t>
  </si>
  <si>
    <t>Total Net Earned Premium</t>
  </si>
  <si>
    <t>GWP Growth %</t>
  </si>
  <si>
    <t>COMBINED INSURANCE (CHUBB) — UNDERWRITING P&amp;L 2019-2026</t>
  </si>
  <si>
    <t>REVENUE</t>
  </si>
  <si>
    <t>A&amp;H Net Earned Premium</t>
  </si>
  <si>
    <t>Life Net Earned Premium</t>
  </si>
  <si>
    <t>Disability Net Earned Premium</t>
  </si>
  <si>
    <t>NEP Growth %</t>
  </si>
  <si>
    <t>CLAIMS</t>
  </si>
  <si>
    <t>A&amp;H Claims</t>
  </si>
  <si>
    <t>Life Claims</t>
  </si>
  <si>
    <t>Disability Claims</t>
  </si>
  <si>
    <t>Total Claims</t>
  </si>
  <si>
    <t>OPERATING EXPENSES</t>
  </si>
  <si>
    <t>A&amp;H Operating Expenses</t>
  </si>
  <si>
    <t>Life Operating Expenses</t>
  </si>
  <si>
    <t>Disability Operating Expenses</t>
  </si>
  <si>
    <t>Total Operating Expenses</t>
  </si>
  <si>
    <t>UNDERWRITING INCOME</t>
  </si>
  <si>
    <t>A&amp;H Underwriting Income</t>
  </si>
  <si>
    <t>Life Underwriting Income</t>
  </si>
  <si>
    <t>Disability Underwriting Income</t>
  </si>
  <si>
    <t>Total Underwriting Income</t>
  </si>
  <si>
    <t>KEY METRICS</t>
  </si>
  <si>
    <t>Loss Ratio — A&amp;H</t>
  </si>
  <si>
    <t>Loss Ratio — Life</t>
  </si>
  <si>
    <t>Loss Ratio — Disability</t>
  </si>
  <si>
    <t>Blended Loss Ratio</t>
  </si>
  <si>
    <t>Expense Ratio — A&amp;H</t>
  </si>
  <si>
    <t>Expense Ratio — Life</t>
  </si>
  <si>
    <t>Expense Ratio — Disability</t>
  </si>
  <si>
    <t>Blended Expense Ratio</t>
  </si>
  <si>
    <t>Combined Ratio — A&amp;H</t>
  </si>
  <si>
    <t>Combined Ratio — Life</t>
  </si>
  <si>
    <t>Combined Ratio — Disability</t>
  </si>
  <si>
    <t>Blended Combined Ratio</t>
  </si>
  <si>
    <t>Underwriting Margin %</t>
  </si>
  <si>
    <t>Avg A&amp;H OPEX %</t>
  </si>
  <si>
    <t>Avg Life claims OPEX %</t>
  </si>
  <si>
    <t>Avg Disability OPEX %</t>
  </si>
  <si>
    <t>COMBINED INSURANCE (CHUBB) — EXECUTIVE INSIGHT &amp; MANAGEMENT REPORT</t>
  </si>
  <si>
    <t>EXECUTIVE SUMMARY</t>
  </si>
  <si>
    <t>Combined Insurance Company of America (a Chubb subsidiary) has delivered consistent and improving underwriting performance from 2019 to 2024 — growing Gross Written Premium from $185.8M to $221.5M, a 19.3% increase over six years, while simultaneously improving the blended combined ratio from 91.9% in 2019 to 85.2% in 2024, a 670 basis point improvement. Underwriting income more than doubled from $14.5M to $31.8M over the same period. The 2025 and 2026 forecast projects continued premium growth to $236.0M and $251.5M respectively under the Base scenario, with the combined ratio improving further to 83.5% and 81.8% — driven by disciplined claims management and operational efficiency gains across all three product lines.</t>
  </si>
  <si>
    <t>REVENUE STORY — 2019 TO 2026</t>
  </si>
  <si>
    <t>Gross Written Premium grew from $185.8M in 2019 to $221.5M in 2024 — a compound annual growth rate of approximately 3.6%. Growth was driven by two levers working simultaneously — policy count expansion and annual premium rate increases. Total policies in force grew from 425,000 in 2019 to 484,000 in 2024, a 13.9% increase, while the blended average premium increased from $437 to $458 per policy annually. The only revenue contraction occurred in 2020 — GWP fell 5.2% to $176.1M as COVID-19 disrupted Combined's direct sales force model, reducing new policy sales across all three product lines. Recovery was swift — 2021 delivered 5.2% GWP growth as agents returned to the field and new policy sales normalized. From 2022 onwards GWP has grown consistently at 5.6-7.0% annually. The 2025 and 2026 forecast projects continued GWP growth of 6.5% annually, driven by Base policy growth assumptions of 2.08% for A&amp;H, 3.09% for Life, and 3.39% for Disability, combined with premium rate increases of 3.13%, 4.12%, and 4.15% respectively.</t>
  </si>
  <si>
    <t>CLAIMS &amp; LOSS RATIO ANALYSIS</t>
  </si>
  <si>
    <t>Total claims paid grew from $95.4M in 2019 to $104.5M in 2024 — a 9.5% increase over six years, significantly slower than premium growth of 19.3%. This divergence is the primary driver of combined ratio improvement. The blended loss ratio declined from 53.0% in 2019 to 48.6% in 2024 — a 440 basis point improvement reflecting better underwriting discipline, improved risk selection, and favorable claims experience across all three product lines. COVID-19 caused a temporary loss ratio spike in 2020 — the blended loss ratio increased to 56.4% as Accident &amp; Health claims rose sharply and Disability claims remained elevated as workers filed income replacement claims during lockdowns. Disability specifically generated a negative underwriting income of -$2.1M in 2020 — the only product line to record an underwriting loss in the entire historical period. This is a critical risk to monitor — Disability is the most economically sensitive product line and would be the first to deteriorate in a Bear scenario. The 2025 Base forecast assumes the loss ratio improvement trend continues — blended loss ratio declining to 47.3% in 2025 and 46.0% in 2026 driven by continued improvements in claims adjudication, policyholder quality, and risk management protocols.</t>
  </si>
  <si>
    <t>EXPENSE RATIO &amp; OPERATIONAL EFFICIENCY</t>
  </si>
  <si>
    <t>The blended expense ratio declined from 39.0% in 2019 to 36.6% in 2024 — a 240 basis point improvement reflecting operational leverage as premium volume grows faster than fixed administrative costs. The largest expense driver is agent commissions — Combined Insurance operates a large direct sales force model where agents receive commission on every policy sold and renewed. As the agent force becomes more productive and premium per agent increases, the expense ratio benefits from scale. Technology investment in policy administration and claims processing has also contributed to efficiency gains. Life insurance carries the highest expense ratio at 37.6% in 2024 — reflecting higher commission rates paid to agents for more complex life products. A&amp;H at 35.8% and Disability at 36.8% are more efficient product lines. The 2025 and 2026 forecast assumes continued expense ratio improvement toward 35.2% and 34.8% blended respectively — supported by technology automation of back-office processes and increasing agent productivity.</t>
  </si>
  <si>
    <t>PRODUCT LINE HIGHLIGHTS</t>
  </si>
  <si>
    <t>Accident &amp; Health is the largest and most profitable product line — generating $92.6M in Net Earned Premium in 2024 (43% of total) with a combined ratio of 87.9%. A&amp;H benefits from high policy volume (204,000 policies) and relatively predictable claims frequency, making it the most stable earnings contributor. Life insurance at $63.1M Net Earned Premium (29% of total) is the most profitable product line with a combined ratio of 79.1% in 2024 — the lowest combined ratio in the portfolio. Life policies generate lower claims frequency and the death benefit nature of the product creates long-duration premium streams with predictable actuarial experience. Disability at $59.2M Net Earned Premium (28% of total) carries the highest combined ratio at 87.6% in 2024 and is the most economically sensitive product line. Disability claims are directly correlated with employment conditions — economic downturns drive higher disability claim rates as workers experiencing job stress or layoffs file income replacement claims. This is Combined's primary underwriting risk.</t>
  </si>
  <si>
    <t>SCENARIO ANALYSIS — RISKS AND OPPORTUNITIES</t>
  </si>
  <si>
    <t>Bear Case (2025 GWP $228.4M, Combined Ratio 90.5%) — The Bear scenario assumes economic headwinds reducing new policy sales, premium growth slowing to approximately half the historical rate as price-sensitive customers resist rate increases and allow policies to lapse, and claims experience deteriorating particularly in Disability as economic stress drives higher income replacement claims. Under Bear, underwriting income compresses significantly — the combined ratio of 90.5% still represents profitable underwriting but at significantly reduced margins. Disability would be at highest risk of returning to negative underwriting income as the combined ratio approaches 100%.</t>
  </si>
  <si>
    <t>Base Case (2025 GWP $236.0M, Combined Ratio 83.5%) — The Base scenario assumes continuation of current trends — steady policy growth driven by Combined's direct sales force, annual premium rate increases in line with historical averages, and continued improvement in loss ratios through better underwriting discipline. Underwriting income grows to $37.8M in 2025 and $44.4M in 2026 — a 18.9% and 39.6% increase respectively from 2024. This represents the most likely outcome given current business trajectory and pipeline visibility.</t>
  </si>
  <si>
    <t>Bull Case (2025 GWP $242.1M, Combined Ratio 80.5%) — The Bull scenario assumes strong economic conditions driving higher new policy sales, premium rate increases accepted by the market above historical averages, and favorable claims experience as a healthy economy reduces disability and accident claims. Under Bull, the combined ratio approaches 80% — representing one of the strongest underwriting results in Combined's recent history. Consulting and premium growth above historical rates would require exceptional agent productivity and a competitive advantage in policy pricing.</t>
  </si>
  <si>
    <t>KEY RECOMMENDATIONS</t>
  </si>
  <si>
    <t>1. Protect Disability underwriting discipline — Disability is the most economically sensitive product line and the only one to record negative underwriting income (2020). Maintain strict risk selection criteria and monitor loss ratio monthly. Any deterioration above 55% should trigger immediate management review and corrective action.</t>
  </si>
  <si>
    <t>2. Accelerate A&amp;H policy growth — A&amp;H is the largest and most stable product line with the highest policy count. Every incremental policy generates predictable premium with well-understood claims experience. Investment in agent recruitment and training focused on A&amp;H sales would generate the highest risk-adjusted return.</t>
  </si>
  <si>
    <t>3. Defend expense ratio improvement — The 240bps expense ratio improvement from 2019 to 2024 has been a major driver of underwriting income growth. Technology investment in policy administration automation and claims processing should continue to drive efficiency toward the 34-35% target range by 2026.</t>
  </si>
  <si>
    <t>4. Monitor 2020 COVID playbook — The 2020 experience demonstrates exactly how Combined's financials deteriorate under stress. Loss ratio spikes 7.4 percentage points and expense ratio rises 1.9 points simultaneously. Management should maintain a contingency response plan tied to leading indicators — new claim filings, policy lapse rates, and agent retention metrics.</t>
  </si>
  <si>
    <t>5. Optimize Life product mix — Life insurance generates the lowest combined ratio at 79.1% in 2024 — the most profitable product line per dollar of premium. Strategic investment in Life policy growth above current 3.09% annual rate would improve the overall portfolio combined ratio and underwriting margin.</t>
  </si>
  <si>
    <t>6. Build reinsurance optimization review — Reinsurance cost is fixed at 3% of GWP. As the book grows to $236M-$251M in 2025-2026, the absolute cost of reinsurance increases from $6.6M to $7.5M annually. A periodic review of reinsurance structure and counterparty terms could identify opportunities to reduce the reinsurance rate while maintaining catastrophic loss protection.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</si>
</sst>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43" formatCode="_-* #,##0.00_-;\-* #,##0.00_-;_-* &quot;-&quot;??_-;_-@_-"/>
    <numFmt numFmtId="164" formatCode="&quot;$&quot;#,##0.00"/>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theme="4" tint="0.39997558519241921"/>
        <bgColor indexed="64"/>
      </patternFill>
    </fill>
    <fill>
      <patternFill patternType="solid">
        <fgColor rgb="FF00B0F0"/>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top/>
      <bottom style="thin">
        <color indexed="64"/>
      </bottom>
      <diagonal/>
    </border>
    <border>
      <left style="thin">
        <color indexed="64"/>
      </left>
      <right style="thin">
        <color indexed="64"/>
      </right>
      <top style="medium">
        <color indexed="64"/>
      </top>
      <bottom style="medium">
        <color indexed="64"/>
      </bottom>
      <diagonal/>
    </border>
    <border>
      <left/>
      <right/>
      <top style="medium">
        <color indexed="64"/>
      </top>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44" fontId="1" fillId="0" borderId="0" applyFont="0" applyFill="0" applyBorder="0" applyAlignment="0" applyProtection="0"/>
  </cellStyleXfs>
  <cellXfs count="75">
    <xf numFmtId="0" fontId="0" fillId="0" borderId="0" xfId="0"/>
    <xf numFmtId="0" fontId="0" fillId="0" borderId="1" xfId="0" applyBorder="1"/>
    <xf numFmtId="10" fontId="0" fillId="0" borderId="1" xfId="0" applyNumberFormat="1" applyBorder="1"/>
    <xf numFmtId="0" fontId="2" fillId="2" borderId="1" xfId="0" applyFont="1" applyFill="1" applyBorder="1"/>
    <xf numFmtId="0" fontId="2" fillId="0" borderId="1" xfId="0" applyFont="1" applyBorder="1"/>
    <xf numFmtId="43" fontId="0" fillId="0" borderId="1" xfId="1" applyFont="1" applyBorder="1"/>
    <xf numFmtId="10" fontId="0" fillId="0" borderId="1" xfId="2" applyNumberFormat="1" applyFont="1" applyBorder="1"/>
    <xf numFmtId="164" fontId="0" fillId="0" borderId="1" xfId="0" applyNumberFormat="1" applyBorder="1"/>
    <xf numFmtId="0" fontId="2" fillId="2" borderId="2" xfId="0" applyFont="1" applyFill="1" applyBorder="1"/>
    <xf numFmtId="164" fontId="0" fillId="0" borderId="1" xfId="1" applyNumberFormat="1" applyFont="1" applyBorder="1"/>
    <xf numFmtId="9" fontId="0" fillId="0" borderId="1" xfId="2" applyFont="1" applyBorder="1"/>
    <xf numFmtId="10" fontId="0" fillId="0" borderId="0" xfId="0" applyNumberFormat="1" applyBorder="1"/>
    <xf numFmtId="164" fontId="0" fillId="0" borderId="1" xfId="2" applyNumberFormat="1" applyFont="1" applyBorder="1"/>
    <xf numFmtId="164" fontId="0" fillId="0" borderId="0" xfId="2" applyNumberFormat="1" applyFont="1" applyBorder="1"/>
    <xf numFmtId="164" fontId="0" fillId="0" borderId="1" xfId="3" applyNumberFormat="1" applyFont="1" applyBorder="1"/>
    <xf numFmtId="10" fontId="0" fillId="0" borderId="1" xfId="0" applyNumberFormat="1" applyBorder="1" applyAlignment="1">
      <alignment horizontal="center"/>
    </xf>
    <xf numFmtId="0" fontId="2" fillId="0" borderId="0" xfId="0" applyFont="1" applyFill="1" applyBorder="1"/>
    <xf numFmtId="0" fontId="2" fillId="2" borderId="3" xfId="0" applyFont="1" applyFill="1" applyBorder="1"/>
    <xf numFmtId="0" fontId="0" fillId="0" borderId="1" xfId="0" applyFill="1" applyBorder="1"/>
    <xf numFmtId="0" fontId="2" fillId="4" borderId="1" xfId="0" applyFont="1" applyFill="1" applyBorder="1"/>
    <xf numFmtId="0" fontId="2" fillId="4" borderId="2" xfId="0" applyFont="1" applyFill="1" applyBorder="1"/>
    <xf numFmtId="0" fontId="2" fillId="3" borderId="1" xfId="0" applyFont="1" applyFill="1" applyBorder="1" applyAlignment="1">
      <alignment horizontal="center"/>
    </xf>
    <xf numFmtId="0" fontId="2" fillId="4" borderId="1" xfId="0" applyFont="1" applyFill="1" applyBorder="1" applyAlignment="1">
      <alignment horizontal="center"/>
    </xf>
    <xf numFmtId="0" fontId="0" fillId="0" borderId="2" xfId="0" applyBorder="1"/>
    <xf numFmtId="0" fontId="0" fillId="0" borderId="2" xfId="0" applyFill="1" applyBorder="1"/>
    <xf numFmtId="0" fontId="0" fillId="0" borderId="5" xfId="0" applyBorder="1"/>
    <xf numFmtId="0" fontId="0" fillId="0" borderId="5" xfId="0" applyFill="1" applyBorder="1"/>
    <xf numFmtId="0" fontId="0" fillId="0" borderId="7" xfId="0" applyBorder="1"/>
    <xf numFmtId="0" fontId="2" fillId="2" borderId="6" xfId="0" applyFont="1" applyFill="1" applyBorder="1"/>
    <xf numFmtId="10" fontId="0" fillId="0" borderId="0" xfId="0" applyNumberFormat="1"/>
    <xf numFmtId="10" fontId="0" fillId="0" borderId="2" xfId="0" applyNumberFormat="1" applyBorder="1"/>
    <xf numFmtId="10" fontId="0" fillId="0" borderId="5" xfId="0" applyNumberFormat="1" applyBorder="1"/>
    <xf numFmtId="10" fontId="0" fillId="0" borderId="0" xfId="2" applyNumberFormat="1" applyFont="1"/>
    <xf numFmtId="9" fontId="0" fillId="0" borderId="1" xfId="0" applyNumberFormat="1" applyBorder="1"/>
    <xf numFmtId="0" fontId="0" fillId="0" borderId="10" xfId="0" applyBorder="1"/>
    <xf numFmtId="0" fontId="0" fillId="0" borderId="11" xfId="0" applyBorder="1"/>
    <xf numFmtId="0" fontId="2" fillId="0" borderId="0" xfId="0" applyFont="1" applyFill="1" applyBorder="1" applyAlignment="1">
      <alignment horizontal="center"/>
    </xf>
    <xf numFmtId="0" fontId="2" fillId="2" borderId="12" xfId="0" applyFont="1" applyFill="1" applyBorder="1"/>
    <xf numFmtId="10" fontId="0" fillId="0" borderId="14" xfId="0" applyNumberFormat="1" applyBorder="1"/>
    <xf numFmtId="10" fontId="0" fillId="0" borderId="9" xfId="0" applyNumberFormat="1" applyBorder="1"/>
    <xf numFmtId="10" fontId="0" fillId="0" borderId="4" xfId="0" applyNumberFormat="1" applyBorder="1"/>
    <xf numFmtId="0" fontId="0" fillId="0" borderId="6" xfId="0" applyBorder="1"/>
    <xf numFmtId="0" fontId="2" fillId="4" borderId="10" xfId="0" applyFont="1" applyFill="1" applyBorder="1"/>
    <xf numFmtId="0" fontId="0" fillId="0" borderId="0" xfId="0" applyFont="1" applyFill="1" applyBorder="1" applyAlignment="1">
      <alignment horizontal="center"/>
    </xf>
    <xf numFmtId="0" fontId="2" fillId="2" borderId="13" xfId="0" applyFont="1" applyFill="1" applyBorder="1" applyAlignment="1">
      <alignment horizontal="center"/>
    </xf>
    <xf numFmtId="10" fontId="0" fillId="0" borderId="2" xfId="2" applyNumberFormat="1" applyFont="1" applyBorder="1"/>
    <xf numFmtId="10" fontId="0" fillId="0" borderId="3" xfId="2" applyNumberFormat="1" applyFont="1" applyBorder="1"/>
    <xf numFmtId="10" fontId="0" fillId="0" borderId="5" xfId="2" applyNumberFormat="1" applyFont="1" applyBorder="1"/>
    <xf numFmtId="0" fontId="2" fillId="4" borderId="1" xfId="0" applyFont="1" applyFill="1" applyBorder="1" applyAlignment="1">
      <alignment horizontal="left"/>
    </xf>
    <xf numFmtId="2" fontId="0" fillId="0" borderId="1" xfId="0" applyNumberFormat="1" applyBorder="1"/>
    <xf numFmtId="0" fontId="0" fillId="0" borderId="1" xfId="0" applyBorder="1" applyAlignment="1">
      <alignment horizontal="center"/>
    </xf>
    <xf numFmtId="10" fontId="0" fillId="0" borderId="3" xfId="0" applyNumberFormat="1" applyBorder="1"/>
    <xf numFmtId="10" fontId="0" fillId="0" borderId="15" xfId="0" applyNumberFormat="1" applyBorder="1"/>
    <xf numFmtId="0" fontId="0" fillId="0" borderId="15" xfId="0" applyBorder="1"/>
    <xf numFmtId="10" fontId="0" fillId="0" borderId="8" xfId="0" applyNumberFormat="1" applyBorder="1"/>
    <xf numFmtId="0" fontId="2" fillId="0" borderId="2" xfId="0" applyFont="1" applyBorder="1"/>
    <xf numFmtId="9" fontId="0" fillId="0" borderId="2" xfId="2" applyFont="1" applyBorder="1"/>
    <xf numFmtId="9" fontId="0" fillId="0" borderId="15" xfId="2" applyFont="1" applyBorder="1"/>
    <xf numFmtId="9" fontId="0" fillId="0" borderId="8" xfId="2" applyFont="1" applyBorder="1"/>
    <xf numFmtId="0" fontId="0" fillId="0" borderId="0" xfId="0" applyAlignment="1">
      <alignment horizontal="center" wrapText="1"/>
    </xf>
    <xf numFmtId="0" fontId="0" fillId="0" borderId="0" xfId="0" applyAlignment="1">
      <alignment horizontal="left" wrapText="1"/>
    </xf>
    <xf numFmtId="0" fontId="0" fillId="0" borderId="0" xfId="0" applyAlignment="1">
      <alignment horizontal="left" vertical="top" wrapText="1"/>
    </xf>
    <xf numFmtId="0" fontId="0" fillId="0" borderId="0" xfId="0" applyAlignment="1">
      <alignment horizontal="left" vertical="center" wrapText="1"/>
    </xf>
    <xf numFmtId="0" fontId="0" fillId="0" borderId="0" xfId="0" applyAlignment="1">
      <alignment horizontal="center" vertical="center" wrapText="1"/>
    </xf>
    <xf numFmtId="0" fontId="2" fillId="2" borderId="10" xfId="0" applyFont="1" applyFill="1" applyBorder="1" applyAlignment="1">
      <alignment horizontal="center"/>
    </xf>
    <xf numFmtId="0" fontId="2" fillId="2" borderId="11" xfId="0" applyFont="1" applyFill="1" applyBorder="1" applyAlignment="1">
      <alignment horizontal="center"/>
    </xf>
    <xf numFmtId="0" fontId="2" fillId="2" borderId="12" xfId="0" applyFont="1" applyFill="1" applyBorder="1" applyAlignment="1">
      <alignment horizontal="center"/>
    </xf>
    <xf numFmtId="0" fontId="2" fillId="2" borderId="10" xfId="0" applyFont="1" applyFill="1" applyBorder="1" applyAlignment="1">
      <alignment horizontal="left"/>
    </xf>
    <xf numFmtId="0" fontId="2" fillId="2" borderId="11" xfId="0" applyFont="1" applyFill="1" applyBorder="1" applyAlignment="1">
      <alignment horizontal="left"/>
    </xf>
    <xf numFmtId="0" fontId="2" fillId="2" borderId="12" xfId="0" applyFont="1" applyFill="1" applyBorder="1" applyAlignment="1">
      <alignment horizontal="left"/>
    </xf>
    <xf numFmtId="0" fontId="2" fillId="0" borderId="16" xfId="0" applyFont="1" applyFill="1" applyBorder="1" applyAlignment="1">
      <alignment horizontal="center"/>
    </xf>
    <xf numFmtId="0" fontId="2" fillId="4" borderId="10" xfId="0" applyFont="1" applyFill="1" applyBorder="1" applyAlignment="1">
      <alignment horizontal="left"/>
    </xf>
    <xf numFmtId="0" fontId="2" fillId="4" borderId="11" xfId="0" applyFont="1" applyFill="1" applyBorder="1" applyAlignment="1">
      <alignment horizontal="left"/>
    </xf>
    <xf numFmtId="0" fontId="2" fillId="4" borderId="12" xfId="0" applyFont="1" applyFill="1" applyBorder="1" applyAlignment="1">
      <alignment horizontal="left"/>
    </xf>
    <xf numFmtId="0" fontId="2" fillId="0" borderId="0" xfId="0" applyFont="1" applyFill="1" applyBorder="1" applyAlignment="1">
      <alignment horizontal="left"/>
    </xf>
  </cellXfs>
  <cellStyles count="4">
    <cellStyle name="Comma" xfId="1" builtinId="3"/>
    <cellStyle name="Currency" xfId="3" builtinId="4"/>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eetMetadata" Target="metadata.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1F0EC-D646-470E-89A9-93735298F91F}">
  <sheetPr>
    <tabColor rgb="FFFFFF00"/>
  </sheetPr>
  <dimension ref="A1:R34"/>
  <sheetViews>
    <sheetView tabSelected="1" workbookViewId="0">
      <selection activeCell="C16" sqref="C16"/>
    </sheetView>
  </sheetViews>
  <sheetFormatPr defaultRowHeight="14.5" x14ac:dyDescent="0.35"/>
  <cols>
    <col min="1" max="1" width="11.7265625" bestFit="1" customWidth="1"/>
    <col min="2" max="2" width="15.36328125" bestFit="1" customWidth="1"/>
    <col min="3" max="3" width="14.81640625" bestFit="1" customWidth="1"/>
    <col min="4" max="4" width="17.6328125" bestFit="1" customWidth="1"/>
    <col min="5" max="5" width="20.26953125" bestFit="1" customWidth="1"/>
    <col min="6" max="6" width="16.453125" bestFit="1" customWidth="1"/>
    <col min="7" max="7" width="18.08984375" bestFit="1" customWidth="1"/>
    <col min="8" max="8" width="18.08984375" customWidth="1"/>
    <col min="9" max="9" width="18.453125" bestFit="1" customWidth="1"/>
    <col min="10" max="10" width="13.6328125" bestFit="1" customWidth="1"/>
    <col min="11" max="11" width="12.54296875" bestFit="1" customWidth="1"/>
    <col min="12" max="12" width="14.36328125" bestFit="1" customWidth="1"/>
    <col min="13" max="13" width="16.54296875" bestFit="1" customWidth="1"/>
    <col min="14" max="14" width="18.6328125" bestFit="1" customWidth="1"/>
    <col min="15" max="15" width="11.1796875" bestFit="1" customWidth="1"/>
    <col min="16" max="16" width="13.26953125" bestFit="1" customWidth="1"/>
  </cols>
  <sheetData>
    <row r="1" spans="1:18" x14ac:dyDescent="0.35">
      <c r="A1" s="22" t="s">
        <v>41</v>
      </c>
      <c r="B1" s="22"/>
      <c r="C1" s="22"/>
    </row>
    <row r="2" spans="1:18" x14ac:dyDescent="0.35">
      <c r="A2" s="16"/>
    </row>
    <row r="3" spans="1:18" x14ac:dyDescent="0.35">
      <c r="A3" s="3" t="s">
        <v>0</v>
      </c>
      <c r="B3" s="3" t="s">
        <v>1</v>
      </c>
      <c r="C3" s="3" t="s">
        <v>2</v>
      </c>
      <c r="D3" s="3" t="s">
        <v>3</v>
      </c>
      <c r="E3" s="3" t="s">
        <v>4</v>
      </c>
      <c r="F3" s="3" t="s">
        <v>5</v>
      </c>
      <c r="G3" s="3" t="s">
        <v>6</v>
      </c>
      <c r="H3" s="3" t="s">
        <v>15</v>
      </c>
      <c r="I3" s="3" t="s">
        <v>19</v>
      </c>
      <c r="J3" s="3" t="s">
        <v>7</v>
      </c>
      <c r="K3" s="3" t="s">
        <v>8</v>
      </c>
      <c r="L3" s="3" t="s">
        <v>9</v>
      </c>
      <c r="M3" s="3" t="s">
        <v>20</v>
      </c>
      <c r="N3" s="3" t="s">
        <v>23</v>
      </c>
      <c r="O3" s="3" t="s">
        <v>21</v>
      </c>
      <c r="P3" s="3" t="s">
        <v>31</v>
      </c>
    </row>
    <row r="4" spans="1:18" x14ac:dyDescent="0.35">
      <c r="A4" s="4">
        <v>2019</v>
      </c>
      <c r="B4" s="1" t="s">
        <v>10</v>
      </c>
      <c r="C4" s="5">
        <v>185000</v>
      </c>
      <c r="D4" s="1">
        <v>445</v>
      </c>
      <c r="E4" s="14">
        <f>C4*D4</f>
        <v>82325000</v>
      </c>
      <c r="F4" s="5">
        <v>44455500</v>
      </c>
      <c r="G4" s="7">
        <f>E4*0.97</f>
        <v>79855250</v>
      </c>
      <c r="H4" s="7">
        <f>G4*K4</f>
        <v>30504705.5</v>
      </c>
      <c r="I4" s="12">
        <f>G4-F4-H4</f>
        <v>4895044.5</v>
      </c>
      <c r="J4" s="6">
        <f>F4/G4</f>
        <v>0.55670103092783507</v>
      </c>
      <c r="K4" s="2">
        <v>0.38200000000000001</v>
      </c>
      <c r="L4" s="2">
        <f>J4+K4</f>
        <v>0.93870103092783508</v>
      </c>
      <c r="M4" s="15" t="s">
        <v>22</v>
      </c>
      <c r="N4" s="15" t="s">
        <v>22</v>
      </c>
      <c r="O4" s="15" t="s">
        <v>22</v>
      </c>
      <c r="P4" s="7">
        <f>H4/C4</f>
        <v>164.8903</v>
      </c>
      <c r="Q4" s="32"/>
    </row>
    <row r="5" spans="1:18" x14ac:dyDescent="0.35">
      <c r="A5" s="4">
        <v>2020</v>
      </c>
      <c r="B5" s="1" t="s">
        <v>10</v>
      </c>
      <c r="C5" s="5">
        <v>172000</v>
      </c>
      <c r="D5" s="1">
        <v>448</v>
      </c>
      <c r="E5" s="14">
        <f t="shared" ref="E5:E21" si="0">C5*D5</f>
        <v>77056000</v>
      </c>
      <c r="F5" s="5">
        <v>44292160</v>
      </c>
      <c r="G5" s="7">
        <f t="shared" ref="G5:G21" si="1">E5*0.97</f>
        <v>74744320</v>
      </c>
      <c r="H5" s="7">
        <f t="shared" ref="H5:H21" si="2">G5*K5</f>
        <v>29972472.32</v>
      </c>
      <c r="I5" s="12">
        <f t="shared" ref="I5:I21" si="3">G5-F5-H5</f>
        <v>479687.6799999997</v>
      </c>
      <c r="J5" s="6">
        <f t="shared" ref="J5:J21" si="4">F5/G5</f>
        <v>0.59258228585128614</v>
      </c>
      <c r="K5" s="2">
        <v>0.40100000000000002</v>
      </c>
      <c r="L5" s="2">
        <f t="shared" ref="L5:L21" si="5">J5+K5</f>
        <v>0.99358228585128616</v>
      </c>
      <c r="M5" s="2">
        <f>((C5-C4)/C4)</f>
        <v>-7.0270270270270274E-2</v>
      </c>
      <c r="N5" s="2">
        <f>((G5-G4)/G4)</f>
        <v>-6.4002429395687829E-2</v>
      </c>
      <c r="O5" s="2">
        <f>((E5-E4)/E4)</f>
        <v>-6.4002429395687829E-2</v>
      </c>
      <c r="P5" s="7">
        <f t="shared" ref="P5:P21" si="6">H5/C5</f>
        <v>174.25855999999999</v>
      </c>
      <c r="Q5" s="29">
        <f>((P5-P4)/P4)</f>
        <v>5.681510677098648E-2</v>
      </c>
      <c r="R5" s="29">
        <f>AVERAGE(Q5:Q9)</f>
        <v>-2.3212916880614438E-3</v>
      </c>
    </row>
    <row r="6" spans="1:18" x14ac:dyDescent="0.35">
      <c r="A6" s="4">
        <v>2021</v>
      </c>
      <c r="B6" s="1" t="s">
        <v>10</v>
      </c>
      <c r="C6" s="5">
        <v>178000</v>
      </c>
      <c r="D6" s="1">
        <v>452</v>
      </c>
      <c r="E6" s="14">
        <f t="shared" si="0"/>
        <v>80456000</v>
      </c>
      <c r="F6" s="5">
        <v>43446240</v>
      </c>
      <c r="G6" s="7">
        <f t="shared" si="1"/>
        <v>78042320</v>
      </c>
      <c r="H6" s="7">
        <f t="shared" si="2"/>
        <v>29499996.960000001</v>
      </c>
      <c r="I6" s="12">
        <f t="shared" si="3"/>
        <v>5096083.0399999991</v>
      </c>
      <c r="J6" s="6">
        <f t="shared" si="4"/>
        <v>0.55670103092783507</v>
      </c>
      <c r="K6" s="2">
        <v>0.378</v>
      </c>
      <c r="L6" s="2">
        <f t="shared" si="5"/>
        <v>0.93470103092783507</v>
      </c>
      <c r="M6" s="2">
        <f t="shared" ref="M6:M21" si="7">((C6-C5)/C5)</f>
        <v>3.4883720930232558E-2</v>
      </c>
      <c r="N6" s="2">
        <f t="shared" ref="N6:N21" si="8">((G6-G5)/G5)</f>
        <v>4.4123754152823921E-2</v>
      </c>
      <c r="O6" s="2">
        <f t="shared" ref="O6:P21" si="9">((E6-E5)/E5)</f>
        <v>4.4123754152823921E-2</v>
      </c>
      <c r="P6" s="7">
        <f t="shared" si="6"/>
        <v>165.73032000000001</v>
      </c>
      <c r="Q6" s="29">
        <f t="shared" ref="Q6:Q9" si="10">((P6-P5)/P5)</f>
        <v>-4.8940149625935063E-2</v>
      </c>
      <c r="R6" s="29"/>
    </row>
    <row r="7" spans="1:18" x14ac:dyDescent="0.35">
      <c r="A7" s="4">
        <v>2022</v>
      </c>
      <c r="B7" s="1" t="s">
        <v>10</v>
      </c>
      <c r="C7" s="5">
        <v>188000</v>
      </c>
      <c r="D7" s="1">
        <v>458</v>
      </c>
      <c r="E7" s="14">
        <f t="shared" si="0"/>
        <v>86104000</v>
      </c>
      <c r="F7" s="5">
        <v>45634120</v>
      </c>
      <c r="G7" s="7">
        <f t="shared" si="1"/>
        <v>83520880</v>
      </c>
      <c r="H7" s="7">
        <f t="shared" si="2"/>
        <v>30819204.719999999</v>
      </c>
      <c r="I7" s="12">
        <f t="shared" si="3"/>
        <v>7067555.2800000012</v>
      </c>
      <c r="J7" s="6">
        <f t="shared" si="4"/>
        <v>0.54637977952339578</v>
      </c>
      <c r="K7" s="2">
        <v>0.36899999999999999</v>
      </c>
      <c r="L7" s="2">
        <f t="shared" si="5"/>
        <v>0.91537977952339578</v>
      </c>
      <c r="M7" s="2">
        <f t="shared" si="7"/>
        <v>5.6179775280898875E-2</v>
      </c>
      <c r="N7" s="2">
        <f t="shared" si="8"/>
        <v>7.0199860793477176E-2</v>
      </c>
      <c r="O7" s="2">
        <f t="shared" si="9"/>
        <v>7.0199860793477176E-2</v>
      </c>
      <c r="P7" s="7">
        <f t="shared" si="6"/>
        <v>163.93194</v>
      </c>
      <c r="Q7" s="29">
        <f t="shared" si="10"/>
        <v>-1.0851243152128161E-2</v>
      </c>
    </row>
    <row r="8" spans="1:18" x14ac:dyDescent="0.35">
      <c r="A8" s="4">
        <v>2023</v>
      </c>
      <c r="B8" s="1" t="s">
        <v>10</v>
      </c>
      <c r="C8" s="5">
        <v>196000</v>
      </c>
      <c r="D8" s="1">
        <v>463</v>
      </c>
      <c r="E8" s="14">
        <f t="shared" si="0"/>
        <v>90748000</v>
      </c>
      <c r="F8" s="5">
        <v>47188960</v>
      </c>
      <c r="G8" s="7">
        <f t="shared" si="1"/>
        <v>88025560</v>
      </c>
      <c r="H8" s="7">
        <f t="shared" si="2"/>
        <v>31865252.719999999</v>
      </c>
      <c r="I8" s="12">
        <f t="shared" si="3"/>
        <v>8971347.2800000012</v>
      </c>
      <c r="J8" s="6">
        <f t="shared" si="4"/>
        <v>0.53608247422680411</v>
      </c>
      <c r="K8" s="2">
        <v>0.36199999999999999</v>
      </c>
      <c r="L8" s="2">
        <f t="shared" si="5"/>
        <v>0.89808247422680409</v>
      </c>
      <c r="M8" s="2">
        <f t="shared" si="7"/>
        <v>4.2553191489361701E-2</v>
      </c>
      <c r="N8" s="2">
        <f t="shared" si="8"/>
        <v>5.3934776549289229E-2</v>
      </c>
      <c r="O8" s="2">
        <f t="shared" si="9"/>
        <v>5.3934776549289229E-2</v>
      </c>
      <c r="P8" s="7">
        <f t="shared" si="6"/>
        <v>162.57782</v>
      </c>
      <c r="Q8" s="29">
        <f t="shared" si="10"/>
        <v>-8.2602572750618015E-3</v>
      </c>
    </row>
    <row r="9" spans="1:18" x14ac:dyDescent="0.35">
      <c r="A9" s="4">
        <v>2024</v>
      </c>
      <c r="B9" s="1" t="s">
        <v>10</v>
      </c>
      <c r="C9" s="5">
        <v>204000</v>
      </c>
      <c r="D9" s="1">
        <v>468</v>
      </c>
      <c r="E9" s="14">
        <f t="shared" si="0"/>
        <v>95472000</v>
      </c>
      <c r="F9" s="5">
        <v>48244800</v>
      </c>
      <c r="G9" s="7">
        <f t="shared" si="1"/>
        <v>92607840</v>
      </c>
      <c r="H9" s="7">
        <f t="shared" si="2"/>
        <v>33153606.719999999</v>
      </c>
      <c r="I9" s="12">
        <f t="shared" si="3"/>
        <v>11209433.280000001</v>
      </c>
      <c r="J9" s="6">
        <f t="shared" si="4"/>
        <v>0.52095805279553009</v>
      </c>
      <c r="K9" s="2">
        <v>0.35799999999999998</v>
      </c>
      <c r="L9" s="2">
        <f t="shared" si="5"/>
        <v>0.87895805279553008</v>
      </c>
      <c r="M9" s="2">
        <f t="shared" si="7"/>
        <v>4.0816326530612242E-2</v>
      </c>
      <c r="N9" s="2">
        <f t="shared" si="8"/>
        <v>5.2056243663772206E-2</v>
      </c>
      <c r="O9" s="2">
        <f t="shared" si="9"/>
        <v>5.2056243663772206E-2</v>
      </c>
      <c r="P9" s="7">
        <f t="shared" si="6"/>
        <v>162.51767999999998</v>
      </c>
      <c r="Q9" s="29">
        <f t="shared" si="10"/>
        <v>-3.6991515816867446E-4</v>
      </c>
    </row>
    <row r="10" spans="1:18" x14ac:dyDescent="0.35">
      <c r="A10" s="4">
        <v>2019</v>
      </c>
      <c r="B10" s="1" t="s">
        <v>11</v>
      </c>
      <c r="C10" s="5">
        <v>142000</v>
      </c>
      <c r="D10" s="1">
        <v>375</v>
      </c>
      <c r="E10" s="14">
        <f t="shared" si="0"/>
        <v>53250000</v>
      </c>
      <c r="F10" s="5">
        <v>22365000</v>
      </c>
      <c r="G10" s="7">
        <f t="shared" si="1"/>
        <v>51652500</v>
      </c>
      <c r="H10" s="7">
        <f t="shared" si="2"/>
        <v>20557695</v>
      </c>
      <c r="I10" s="12">
        <f t="shared" si="3"/>
        <v>8729805</v>
      </c>
      <c r="J10" s="6">
        <f t="shared" si="4"/>
        <v>0.4329896907216495</v>
      </c>
      <c r="K10" s="2">
        <v>0.39800000000000002</v>
      </c>
      <c r="L10" s="2">
        <f t="shared" si="5"/>
        <v>0.83098969072164952</v>
      </c>
      <c r="M10" s="2"/>
      <c r="N10" s="2"/>
      <c r="O10" s="2"/>
      <c r="P10" s="7">
        <f t="shared" si="6"/>
        <v>144.77250000000001</v>
      </c>
    </row>
    <row r="11" spans="1:18" x14ac:dyDescent="0.35">
      <c r="A11" s="4">
        <v>2020</v>
      </c>
      <c r="B11" s="1" t="s">
        <v>11</v>
      </c>
      <c r="C11" s="5">
        <v>138000</v>
      </c>
      <c r="D11" s="1">
        <v>378</v>
      </c>
      <c r="E11" s="14">
        <f t="shared" si="0"/>
        <v>52164000</v>
      </c>
      <c r="F11" s="5">
        <v>23474000</v>
      </c>
      <c r="G11" s="7">
        <f t="shared" si="1"/>
        <v>50599080</v>
      </c>
      <c r="H11" s="7">
        <f t="shared" si="2"/>
        <v>20846820.959999997</v>
      </c>
      <c r="I11" s="12">
        <f t="shared" si="3"/>
        <v>6278259.0400000028</v>
      </c>
      <c r="J11" s="6">
        <f t="shared" si="4"/>
        <v>0.46392147841423204</v>
      </c>
      <c r="K11" s="2">
        <v>0.41199999999999998</v>
      </c>
      <c r="L11" s="2">
        <f t="shared" si="5"/>
        <v>0.87592147841423196</v>
      </c>
      <c r="M11" s="2">
        <f t="shared" si="7"/>
        <v>-2.8169014084507043E-2</v>
      </c>
      <c r="N11" s="2">
        <f>((G11-G10)/G10)</f>
        <v>-2.03943661971831E-2</v>
      </c>
      <c r="O11" s="2">
        <f t="shared" si="9"/>
        <v>-2.03943661971831E-2</v>
      </c>
      <c r="P11" s="7">
        <f t="shared" si="6"/>
        <v>151.06391999999997</v>
      </c>
      <c r="Q11" s="29">
        <f>((P12-P11)/P11)</f>
        <v>-2.8663892741562336E-2</v>
      </c>
      <c r="R11" s="29">
        <f>AVERAGE(Q11:Q15)</f>
        <v>6.2445766580917494E-2</v>
      </c>
    </row>
    <row r="12" spans="1:18" x14ac:dyDescent="0.35">
      <c r="A12" s="4">
        <v>2021</v>
      </c>
      <c r="B12" s="1" t="s">
        <v>11</v>
      </c>
      <c r="C12" s="5">
        <v>144000</v>
      </c>
      <c r="D12" s="1">
        <v>382</v>
      </c>
      <c r="E12" s="14">
        <f t="shared" si="0"/>
        <v>55008000</v>
      </c>
      <c r="F12" s="5">
        <v>23695190</v>
      </c>
      <c r="G12" s="7">
        <f t="shared" si="1"/>
        <v>53357760</v>
      </c>
      <c r="H12" s="7">
        <f t="shared" si="2"/>
        <v>21129672.960000001</v>
      </c>
      <c r="I12" s="12">
        <f t="shared" si="3"/>
        <v>8532897.0399999991</v>
      </c>
      <c r="J12" s="6">
        <f t="shared" si="4"/>
        <v>0.44408142320817068</v>
      </c>
      <c r="K12" s="2">
        <v>0.39600000000000002</v>
      </c>
      <c r="L12" s="2">
        <f t="shared" si="5"/>
        <v>0.8400814232081707</v>
      </c>
      <c r="M12" s="2">
        <f t="shared" si="7"/>
        <v>4.3478260869565216E-2</v>
      </c>
      <c r="N12" s="2">
        <f t="shared" si="8"/>
        <v>5.4520358868184952E-2</v>
      </c>
      <c r="O12" s="2">
        <f t="shared" si="9"/>
        <v>5.4520358868184952E-2</v>
      </c>
      <c r="P12" s="7">
        <f t="shared" si="6"/>
        <v>146.73384000000001</v>
      </c>
      <c r="Q12" s="29">
        <f t="shared" ref="Q12:Q15" si="11">((P13-P12)/P12)</f>
        <v>-9.9423554920938604E-3</v>
      </c>
    </row>
    <row r="13" spans="1:18" x14ac:dyDescent="0.35">
      <c r="A13" s="4">
        <v>2022</v>
      </c>
      <c r="B13" s="1" t="s">
        <v>11</v>
      </c>
      <c r="C13" s="5">
        <v>151000</v>
      </c>
      <c r="D13" s="1">
        <v>386</v>
      </c>
      <c r="E13" s="14">
        <f t="shared" si="0"/>
        <v>58286000</v>
      </c>
      <c r="F13" s="5">
        <v>24480120</v>
      </c>
      <c r="G13" s="7">
        <f t="shared" si="1"/>
        <v>56537420</v>
      </c>
      <c r="H13" s="7">
        <f t="shared" si="2"/>
        <v>21936518.960000001</v>
      </c>
      <c r="I13" s="12">
        <f t="shared" si="3"/>
        <v>10120781.039999999</v>
      </c>
      <c r="J13" s="6">
        <f t="shared" si="4"/>
        <v>0.4329896907216495</v>
      </c>
      <c r="K13" s="2">
        <v>0.38800000000000001</v>
      </c>
      <c r="L13" s="2">
        <f t="shared" si="5"/>
        <v>0.82098969072164951</v>
      </c>
      <c r="M13" s="2">
        <f t="shared" si="7"/>
        <v>4.8611111111111112E-2</v>
      </c>
      <c r="N13" s="2">
        <f t="shared" si="8"/>
        <v>5.9591332169866201E-2</v>
      </c>
      <c r="O13" s="2">
        <f t="shared" si="9"/>
        <v>5.9591332169866201E-2</v>
      </c>
      <c r="P13" s="7">
        <f t="shared" si="6"/>
        <v>145.27495999999999</v>
      </c>
      <c r="Q13" s="29">
        <f t="shared" si="11"/>
        <v>-7.86549863789332E-3</v>
      </c>
    </row>
    <row r="14" spans="1:18" x14ac:dyDescent="0.35">
      <c r="A14" s="4">
        <v>2023</v>
      </c>
      <c r="B14" s="1" t="s">
        <v>11</v>
      </c>
      <c r="C14" s="5">
        <v>158000</v>
      </c>
      <c r="D14" s="1">
        <v>390</v>
      </c>
      <c r="E14" s="14">
        <f t="shared" si="0"/>
        <v>61620000</v>
      </c>
      <c r="F14" s="5">
        <v>25280200</v>
      </c>
      <c r="G14" s="7">
        <f t="shared" si="1"/>
        <v>59771400</v>
      </c>
      <c r="H14" s="7">
        <f t="shared" si="2"/>
        <v>22772903.399999999</v>
      </c>
      <c r="I14" s="12">
        <f t="shared" si="3"/>
        <v>11718296.600000001</v>
      </c>
      <c r="J14" s="6">
        <f t="shared" si="4"/>
        <v>0.42294809892356544</v>
      </c>
      <c r="K14" s="2">
        <v>0.38100000000000001</v>
      </c>
      <c r="L14" s="2">
        <f t="shared" si="5"/>
        <v>0.80394809892356545</v>
      </c>
      <c r="M14" s="2">
        <f t="shared" si="7"/>
        <v>4.6357615894039736E-2</v>
      </c>
      <c r="N14" s="2">
        <f t="shared" si="8"/>
        <v>5.7200699996568648E-2</v>
      </c>
      <c r="O14" s="2">
        <f t="shared" si="9"/>
        <v>5.7200699996568648E-2</v>
      </c>
      <c r="P14" s="7">
        <f t="shared" si="6"/>
        <v>144.13229999999999</v>
      </c>
      <c r="Q14" s="29">
        <f t="shared" si="11"/>
        <v>-3.0015478834375491E-3</v>
      </c>
    </row>
    <row r="15" spans="1:18" x14ac:dyDescent="0.35">
      <c r="A15" s="4">
        <v>2024</v>
      </c>
      <c r="B15" s="1" t="s">
        <v>11</v>
      </c>
      <c r="C15" s="5">
        <v>165000</v>
      </c>
      <c r="D15" s="1">
        <v>394</v>
      </c>
      <c r="E15" s="14">
        <f t="shared" si="0"/>
        <v>65010000</v>
      </c>
      <c r="F15" s="5">
        <v>26136000</v>
      </c>
      <c r="G15" s="7">
        <f t="shared" si="1"/>
        <v>63059700</v>
      </c>
      <c r="H15" s="7">
        <f t="shared" si="2"/>
        <v>23710447.199999999</v>
      </c>
      <c r="I15" s="12">
        <f t="shared" si="3"/>
        <v>13213252.800000001</v>
      </c>
      <c r="J15" s="6">
        <f t="shared" si="4"/>
        <v>0.41446438850803285</v>
      </c>
      <c r="K15" s="2">
        <v>0.376</v>
      </c>
      <c r="L15" s="2">
        <f t="shared" si="5"/>
        <v>0.79046438850803291</v>
      </c>
      <c r="M15" s="2">
        <f t="shared" si="7"/>
        <v>4.4303797468354431E-2</v>
      </c>
      <c r="N15" s="2">
        <f t="shared" si="8"/>
        <v>5.5014605647517041E-2</v>
      </c>
      <c r="O15" s="2">
        <f t="shared" si="9"/>
        <v>5.5014605647517041E-2</v>
      </c>
      <c r="P15" s="7">
        <f t="shared" si="6"/>
        <v>143.69968</v>
      </c>
      <c r="Q15" s="29">
        <f t="shared" si="11"/>
        <v>0.36170212765957455</v>
      </c>
    </row>
    <row r="16" spans="1:18" x14ac:dyDescent="0.35">
      <c r="A16" s="4">
        <v>2019</v>
      </c>
      <c r="B16" s="1" t="s">
        <v>12</v>
      </c>
      <c r="C16" s="5">
        <v>98000</v>
      </c>
      <c r="D16" s="1">
        <v>512</v>
      </c>
      <c r="E16" s="14">
        <f t="shared" si="0"/>
        <v>50176000</v>
      </c>
      <c r="F16" s="5">
        <v>28599320</v>
      </c>
      <c r="G16" s="7">
        <f t="shared" si="1"/>
        <v>48670720</v>
      </c>
      <c r="H16" s="7">
        <f t="shared" si="2"/>
        <v>19176263.68</v>
      </c>
      <c r="I16" s="12">
        <f t="shared" si="3"/>
        <v>895136.3200000003</v>
      </c>
      <c r="J16" s="6">
        <f t="shared" si="4"/>
        <v>0.58760831974542393</v>
      </c>
      <c r="K16" s="2">
        <v>0.39400000000000002</v>
      </c>
      <c r="L16" s="2">
        <f t="shared" si="5"/>
        <v>0.98160831974542395</v>
      </c>
      <c r="M16" s="2"/>
      <c r="N16" s="2"/>
      <c r="O16" s="2"/>
      <c r="P16" s="7">
        <f t="shared" si="6"/>
        <v>195.67616000000001</v>
      </c>
    </row>
    <row r="17" spans="1:18" x14ac:dyDescent="0.35">
      <c r="A17" s="4">
        <v>2020</v>
      </c>
      <c r="B17" s="1" t="s">
        <v>12</v>
      </c>
      <c r="C17" s="5">
        <v>91000</v>
      </c>
      <c r="D17" s="1">
        <v>515</v>
      </c>
      <c r="E17" s="14">
        <f t="shared" si="0"/>
        <v>46865000</v>
      </c>
      <c r="F17" s="5">
        <v>28591650</v>
      </c>
      <c r="G17" s="7">
        <f t="shared" si="1"/>
        <v>45459050</v>
      </c>
      <c r="H17" s="7">
        <f t="shared" si="2"/>
        <v>19001882.899999999</v>
      </c>
      <c r="I17" s="12">
        <f t="shared" si="3"/>
        <v>-2134482.8999999985</v>
      </c>
      <c r="J17" s="6">
        <f t="shared" si="4"/>
        <v>0.62895397066150749</v>
      </c>
      <c r="K17" s="2">
        <v>0.41799999999999998</v>
      </c>
      <c r="L17" s="2">
        <f t="shared" si="5"/>
        <v>1.0469539706615074</v>
      </c>
      <c r="M17" s="2">
        <f t="shared" si="7"/>
        <v>-7.1428571428571425E-2</v>
      </c>
      <c r="N17" s="2">
        <f t="shared" si="8"/>
        <v>-6.5987723214285712E-2</v>
      </c>
      <c r="O17" s="2">
        <f t="shared" si="9"/>
        <v>-6.5987723214285712E-2</v>
      </c>
      <c r="P17" s="7">
        <f t="shared" si="6"/>
        <v>208.81189999999998</v>
      </c>
      <c r="Q17" s="29">
        <f>((P17-P16)/P16)</f>
        <v>6.7129996827411012E-2</v>
      </c>
      <c r="R17" s="29">
        <f>AVERAGE(Q17:Q21)</f>
        <v>-5.5139811567288515E-3</v>
      </c>
    </row>
    <row r="18" spans="1:18" x14ac:dyDescent="0.35">
      <c r="A18" s="4">
        <v>2021</v>
      </c>
      <c r="B18" s="1" t="s">
        <v>12</v>
      </c>
      <c r="C18" s="5">
        <v>96000</v>
      </c>
      <c r="D18" s="1">
        <v>518</v>
      </c>
      <c r="E18" s="14">
        <f t="shared" si="0"/>
        <v>49728000</v>
      </c>
      <c r="F18" s="5">
        <v>27849680</v>
      </c>
      <c r="G18" s="7">
        <f t="shared" si="1"/>
        <v>48236160</v>
      </c>
      <c r="H18" s="7">
        <f t="shared" si="2"/>
        <v>18908574.720000003</v>
      </c>
      <c r="I18" s="12">
        <f t="shared" si="3"/>
        <v>1477905.2799999975</v>
      </c>
      <c r="J18" s="6">
        <f t="shared" si="4"/>
        <v>0.5773610502991946</v>
      </c>
      <c r="K18" s="2">
        <v>0.39200000000000002</v>
      </c>
      <c r="L18" s="2">
        <f t="shared" si="5"/>
        <v>0.96936105029919462</v>
      </c>
      <c r="M18" s="2">
        <f t="shared" si="7"/>
        <v>5.4945054945054944E-2</v>
      </c>
      <c r="N18" s="2">
        <f t="shared" si="8"/>
        <v>6.1090365944734874E-2</v>
      </c>
      <c r="O18" s="2">
        <f t="shared" si="9"/>
        <v>6.1090365944734874E-2</v>
      </c>
      <c r="P18" s="7">
        <f t="shared" si="6"/>
        <v>196.96432000000001</v>
      </c>
      <c r="Q18" s="29">
        <f t="shared" ref="Q18:Q21" si="12">((P18-P17)/P17)</f>
        <v>-5.6738049890834606E-2</v>
      </c>
    </row>
    <row r="19" spans="1:18" x14ac:dyDescent="0.35">
      <c r="A19" s="4">
        <v>2022</v>
      </c>
      <c r="B19" s="1" t="s">
        <v>12</v>
      </c>
      <c r="C19" s="5">
        <v>103000</v>
      </c>
      <c r="D19" s="1">
        <v>522</v>
      </c>
      <c r="E19" s="14">
        <f t="shared" si="0"/>
        <v>53766000</v>
      </c>
      <c r="F19" s="5">
        <v>28479980</v>
      </c>
      <c r="G19" s="7">
        <f t="shared" si="1"/>
        <v>52153020</v>
      </c>
      <c r="H19" s="7">
        <f t="shared" si="2"/>
        <v>19765994.580000002</v>
      </c>
      <c r="I19" s="12">
        <f t="shared" si="3"/>
        <v>3907045.4199999981</v>
      </c>
      <c r="J19" s="6">
        <f t="shared" si="4"/>
        <v>0.54608496305678944</v>
      </c>
      <c r="K19" s="2">
        <v>0.379</v>
      </c>
      <c r="L19" s="2">
        <f t="shared" si="5"/>
        <v>0.92508496305678944</v>
      </c>
      <c r="M19" s="2">
        <f t="shared" si="7"/>
        <v>7.2916666666666671E-2</v>
      </c>
      <c r="N19" s="2">
        <f t="shared" si="8"/>
        <v>8.1201737451737449E-2</v>
      </c>
      <c r="O19" s="2">
        <f t="shared" si="9"/>
        <v>8.1201737451737449E-2</v>
      </c>
      <c r="P19" s="7">
        <f t="shared" si="6"/>
        <v>191.90286000000003</v>
      </c>
      <c r="Q19" s="29">
        <f t="shared" si="12"/>
        <v>-2.5697344574895503E-2</v>
      </c>
    </row>
    <row r="20" spans="1:18" x14ac:dyDescent="0.35">
      <c r="A20" s="4">
        <v>2023</v>
      </c>
      <c r="B20" s="1" t="s">
        <v>12</v>
      </c>
      <c r="C20" s="5">
        <v>109000</v>
      </c>
      <c r="D20" s="1">
        <v>526</v>
      </c>
      <c r="E20" s="14">
        <f t="shared" si="0"/>
        <v>57334000</v>
      </c>
      <c r="F20" s="5">
        <v>29203340</v>
      </c>
      <c r="G20" s="7">
        <f t="shared" si="1"/>
        <v>55613980</v>
      </c>
      <c r="H20" s="7">
        <f t="shared" si="2"/>
        <v>20632786.579999998</v>
      </c>
      <c r="I20" s="12">
        <f t="shared" si="3"/>
        <v>5777853.4200000018</v>
      </c>
      <c r="J20" s="6">
        <f t="shared" si="4"/>
        <v>0.52510789553274195</v>
      </c>
      <c r="K20" s="2">
        <v>0.371</v>
      </c>
      <c r="L20" s="2">
        <f t="shared" si="5"/>
        <v>0.89610789553274195</v>
      </c>
      <c r="M20" s="2">
        <f t="shared" si="7"/>
        <v>5.8252427184466021E-2</v>
      </c>
      <c r="N20" s="2">
        <f t="shared" si="8"/>
        <v>6.6361641185879547E-2</v>
      </c>
      <c r="O20" s="2">
        <f t="shared" si="9"/>
        <v>6.6361641185879547E-2</v>
      </c>
      <c r="P20" s="7">
        <f t="shared" si="6"/>
        <v>189.29161999999999</v>
      </c>
      <c r="Q20" s="29">
        <f t="shared" si="12"/>
        <v>-1.3607092671782157E-2</v>
      </c>
    </row>
    <row r="21" spans="1:18" x14ac:dyDescent="0.35">
      <c r="A21" s="4">
        <v>2024</v>
      </c>
      <c r="B21" s="1" t="s">
        <v>12</v>
      </c>
      <c r="C21" s="5">
        <v>115000</v>
      </c>
      <c r="D21" s="1">
        <v>531</v>
      </c>
      <c r="E21" s="14">
        <f t="shared" si="0"/>
        <v>61065000</v>
      </c>
      <c r="F21" s="5">
        <v>30088500</v>
      </c>
      <c r="G21" s="7">
        <f t="shared" si="1"/>
        <v>59233050</v>
      </c>
      <c r="H21" s="7">
        <f t="shared" si="2"/>
        <v>21797762.399999999</v>
      </c>
      <c r="I21" s="12">
        <f t="shared" si="3"/>
        <v>7346787.6000000015</v>
      </c>
      <c r="J21" s="6">
        <f t="shared" si="4"/>
        <v>0.50796810226723088</v>
      </c>
      <c r="K21" s="2">
        <v>0.36799999999999999</v>
      </c>
      <c r="L21" s="2">
        <f t="shared" si="5"/>
        <v>0.87596810226723087</v>
      </c>
      <c r="M21" s="2">
        <f t="shared" si="7"/>
        <v>5.5045871559633031E-2</v>
      </c>
      <c r="N21" s="2">
        <f t="shared" si="8"/>
        <v>6.5074824711340559E-2</v>
      </c>
      <c r="O21" s="2">
        <f t="shared" si="9"/>
        <v>6.5074824711340559E-2</v>
      </c>
      <c r="P21" s="7">
        <f t="shared" si="6"/>
        <v>189.54575999999997</v>
      </c>
      <c r="Q21" s="29">
        <f t="shared" si="12"/>
        <v>1.3425845264569995E-3</v>
      </c>
    </row>
    <row r="22" spans="1:18" x14ac:dyDescent="0.35">
      <c r="I22" s="13"/>
    </row>
    <row r="23" spans="1:18" x14ac:dyDescent="0.35">
      <c r="A23" s="19" t="s">
        <v>13</v>
      </c>
      <c r="B23" s="16"/>
    </row>
    <row r="24" spans="1:18" x14ac:dyDescent="0.35">
      <c r="A24" s="3" t="s">
        <v>0</v>
      </c>
      <c r="B24" s="3" t="s">
        <v>14</v>
      </c>
      <c r="C24" s="3" t="s">
        <v>5</v>
      </c>
      <c r="D24" s="3" t="s">
        <v>6</v>
      </c>
      <c r="E24" s="3" t="s">
        <v>7</v>
      </c>
      <c r="F24" s="3" t="s">
        <v>16</v>
      </c>
      <c r="G24" s="3" t="s">
        <v>17</v>
      </c>
      <c r="H24" s="3" t="s">
        <v>9</v>
      </c>
      <c r="I24" s="3" t="s">
        <v>18</v>
      </c>
      <c r="J24" s="3" t="s">
        <v>43</v>
      </c>
      <c r="K24" s="3" t="s">
        <v>42</v>
      </c>
    </row>
    <row r="25" spans="1:18" x14ac:dyDescent="0.35">
      <c r="A25" s="4">
        <v>2019</v>
      </c>
      <c r="B25" s="9" cm="1">
        <f t="array" ref="B25">SUMPRODUCT((A4:A21=2019)*E4:E21)</f>
        <v>185751000</v>
      </c>
      <c r="C25" s="5" cm="1">
        <f t="array" ref="C25">SUMPRODUCT((A4:A21=2019)*F4:F21)</f>
        <v>95419820</v>
      </c>
      <c r="D25" s="5" cm="1">
        <f t="array" ref="D25">SUMPRODUCT((A4:A21=2019)*G4:G21)</f>
        <v>180178470</v>
      </c>
      <c r="E25" s="6">
        <f>C25/D25</f>
        <v>0.529585027556289</v>
      </c>
      <c r="F25" s="7">
        <f>SUMIF($A$4:$A$21,2019,$H$4:$H$21)</f>
        <v>70238664.180000007</v>
      </c>
      <c r="G25" s="2">
        <f>F25/D25</f>
        <v>0.38982828625417904</v>
      </c>
      <c r="H25" s="2">
        <f>SUM(G25+E25)</f>
        <v>0.91941331381046809</v>
      </c>
      <c r="I25" s="7">
        <f>SUMIF($A$4:$A$21,2019,$I$4:$I$21)</f>
        <v>14519985.82</v>
      </c>
      <c r="J25" s="5">
        <f>SUMIF($A$4:$A$21,2019,$C$4:$C$21)</f>
        <v>425000</v>
      </c>
      <c r="K25" s="7">
        <f>B25/J25</f>
        <v>437.06117647058824</v>
      </c>
    </row>
    <row r="26" spans="1:18" x14ac:dyDescent="0.35">
      <c r="A26" s="4">
        <v>2020</v>
      </c>
      <c r="B26" s="9" cm="1">
        <f t="array" ref="B26">SUMPRODUCT((A4:A21=2020)*E4:E21)</f>
        <v>176085000</v>
      </c>
      <c r="C26" s="5" cm="1">
        <f t="array" ref="C26">SUMPRODUCT((A4:A21=2020)*F4:F21)</f>
        <v>96357810</v>
      </c>
      <c r="D26" s="5" cm="1">
        <f t="array" ref="D26">SUMPRODUCT((A4:A21=2020)*G4:G21)</f>
        <v>170802450</v>
      </c>
      <c r="E26" s="6">
        <f>C26/D26</f>
        <v>0.56414770397028846</v>
      </c>
      <c r="F26" s="7">
        <f>SUMIF($A$4:$A$21,2020,$H$4:$H$21)</f>
        <v>69821176.180000007</v>
      </c>
      <c r="G26" s="2">
        <f t="shared" ref="G26:G30" si="13">F26/D26</f>
        <v>0.40878322401113104</v>
      </c>
      <c r="H26" s="2">
        <f t="shared" ref="H26:H30" si="14">SUM(G26+E26)</f>
        <v>0.97293092798141956</v>
      </c>
      <c r="I26" s="7">
        <f>SUMIF($A$4:$A$21,2020,$I$4:$I$21)</f>
        <v>4623463.820000004</v>
      </c>
      <c r="J26" s="5">
        <f>SUMIF($A$4:$A$21,2020,$C$4:$C$21)</f>
        <v>401000</v>
      </c>
      <c r="K26" s="7">
        <f t="shared" ref="K26:K30" si="15">B26/J26</f>
        <v>439.11471321695763</v>
      </c>
    </row>
    <row r="27" spans="1:18" x14ac:dyDescent="0.35">
      <c r="A27" s="4">
        <v>2021</v>
      </c>
      <c r="B27" s="9" cm="1">
        <f t="array" ref="B27">SUMPRODUCT((A4:A21=2021)*E4:E21)</f>
        <v>185192000</v>
      </c>
      <c r="C27" s="5" cm="1">
        <f t="array" ref="C27">SUMPRODUCT((A4:A21=2021)*F4:F21)</f>
        <v>94991110</v>
      </c>
      <c r="D27" s="5" cm="1">
        <f t="array" ref="D27">SUMPRODUCT((A4:A21=2021)*G4:G21)</f>
        <v>179636240</v>
      </c>
      <c r="E27" s="6">
        <f t="shared" ref="E27:E30" si="16">C27/D27</f>
        <v>0.52879702892912928</v>
      </c>
      <c r="F27" s="7">
        <f>SUMIF($A$4:$A$21,2021,$H$4:$H$21)</f>
        <v>69538244.640000001</v>
      </c>
      <c r="G27" s="2">
        <f t="shared" si="13"/>
        <v>0.38710587930364165</v>
      </c>
      <c r="H27" s="2">
        <f t="shared" si="14"/>
        <v>0.91590290823277098</v>
      </c>
      <c r="I27" s="7">
        <f>SUMIF($A$4:$A$21,2021,$I$4:$I$21)</f>
        <v>15106885.359999996</v>
      </c>
      <c r="J27" s="5">
        <f>SUMIF($A$4:$A$21,2021,$C$4:$C$21)</f>
        <v>418000</v>
      </c>
      <c r="K27" s="7">
        <f t="shared" si="15"/>
        <v>443.04306220095691</v>
      </c>
    </row>
    <row r="28" spans="1:18" x14ac:dyDescent="0.35">
      <c r="A28" s="4">
        <v>2022</v>
      </c>
      <c r="B28" s="9" cm="1">
        <f t="array" ref="B28">SUMPRODUCT((A4:A21=2022)*E4:E21)</f>
        <v>198156000</v>
      </c>
      <c r="C28" s="5" cm="1">
        <f t="array" ref="C28">SUMPRODUCT((A4:A21=2022)*F4:F21)</f>
        <v>98594220</v>
      </c>
      <c r="D28" s="5" cm="1">
        <f t="array" ref="D28">SUMPRODUCT((A4:A21=2022)*G4:G21)</f>
        <v>192211320</v>
      </c>
      <c r="E28" s="6">
        <f t="shared" si="16"/>
        <v>0.51294700020789619</v>
      </c>
      <c r="F28" s="7">
        <f>SUMIF($A$4:$A$21,2022,$H$4:$H$21)</f>
        <v>72521718.260000005</v>
      </c>
      <c r="G28" s="2">
        <f t="shared" si="13"/>
        <v>0.37730201457437579</v>
      </c>
      <c r="H28" s="2">
        <f t="shared" si="14"/>
        <v>0.89024901478227192</v>
      </c>
      <c r="I28" s="7">
        <f>SUMIF($A$4:$A$21,2022,$I$4:$I$21)</f>
        <v>21095381.739999998</v>
      </c>
      <c r="J28" s="5">
        <f>SUMIF($A$4:$A$21,2022,$C$4:$C$21)</f>
        <v>442000</v>
      </c>
      <c r="K28" s="7">
        <f t="shared" si="15"/>
        <v>448.31674208144796</v>
      </c>
    </row>
    <row r="29" spans="1:18" x14ac:dyDescent="0.35">
      <c r="A29" s="4">
        <v>2023</v>
      </c>
      <c r="B29" s="9" cm="1">
        <f t="array" ref="B29">SUMPRODUCT((A4:A21=2023)*E4:E21)</f>
        <v>209702000</v>
      </c>
      <c r="C29" s="5" cm="1">
        <f t="array" ref="C29">SUMPRODUCT((A4:A21=2023)*F4:F21)</f>
        <v>101672500</v>
      </c>
      <c r="D29" s="5" cm="1">
        <f t="array" ref="D29">SUMPRODUCT((A4:A21=2023)*G4:G21)</f>
        <v>203410940</v>
      </c>
      <c r="E29" s="6">
        <f t="shared" si="16"/>
        <v>0.49983791432260233</v>
      </c>
      <c r="F29" s="7">
        <f>SUMIF($A$4:$A$21,2023,$H$4:$H$21)</f>
        <v>75270942.699999988</v>
      </c>
      <c r="G29" s="2">
        <f t="shared" si="13"/>
        <v>0.37004372871980235</v>
      </c>
      <c r="H29" s="2">
        <f t="shared" si="14"/>
        <v>0.86988164304240467</v>
      </c>
      <c r="I29" s="7">
        <f>SUMIF($A$4:$A$21,2023,$I$4:$I$21)</f>
        <v>26467497.300000004</v>
      </c>
      <c r="J29" s="5">
        <f>SUMIF($A$4:$A$21,2023,$C$4:$C$21)</f>
        <v>463000</v>
      </c>
      <c r="K29" s="7">
        <f t="shared" si="15"/>
        <v>452.92008639308852</v>
      </c>
    </row>
    <row r="30" spans="1:18" x14ac:dyDescent="0.35">
      <c r="A30" s="4">
        <v>2024</v>
      </c>
      <c r="B30" s="9" cm="1">
        <f t="array" ref="B30">SUMPRODUCT((A4:A21=2024)*E4:E21)</f>
        <v>221547000</v>
      </c>
      <c r="C30" s="5" cm="1">
        <f t="array" ref="C30">SUMPRODUCT((A4:A21=2024)*F4:F21)</f>
        <v>104469300</v>
      </c>
      <c r="D30" s="5" cm="1">
        <f t="array" ref="D30">SUMPRODUCT((A4:A21=2024)*G4:G21)</f>
        <v>214900590</v>
      </c>
      <c r="E30" s="6">
        <f t="shared" si="16"/>
        <v>0.48612849317910201</v>
      </c>
      <c r="F30" s="7">
        <f>SUMIF($A$4:$A$21,2024,$H$4:$H$21)</f>
        <v>78661816.319999993</v>
      </c>
      <c r="G30" s="2">
        <f t="shared" si="13"/>
        <v>0.36603815894595726</v>
      </c>
      <c r="H30" s="2">
        <f t="shared" si="14"/>
        <v>0.85216665212505927</v>
      </c>
      <c r="I30" s="7">
        <f>SUMIF($A$4:$A$21,2024,$I$4:$I$21)</f>
        <v>31769473.680000003</v>
      </c>
      <c r="J30" s="5">
        <f>SUMIF($A$4:$A$21,2024,$C$4:$C$21)</f>
        <v>484000</v>
      </c>
      <c r="K30" s="7">
        <f t="shared" si="15"/>
        <v>457.7417355371901</v>
      </c>
    </row>
    <row r="32" spans="1:18" x14ac:dyDescent="0.35">
      <c r="A32" s="16"/>
    </row>
    <row r="33" spans="1:1" x14ac:dyDescent="0.35">
      <c r="A33" s="16"/>
    </row>
    <row r="34" spans="1:1" x14ac:dyDescent="0.35">
      <c r="A34" s="16"/>
    </row>
  </sheetData>
  <mergeCells count="1">
    <mergeCell ref="A1:C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97E92-6513-4D88-A771-875D681E4BA9}">
  <sheetPr>
    <tabColor rgb="FFFFC000"/>
  </sheetPr>
  <dimension ref="A1:D38"/>
  <sheetViews>
    <sheetView topLeftCell="A23" workbookViewId="0">
      <selection activeCell="D28" sqref="D28"/>
    </sheetView>
  </sheetViews>
  <sheetFormatPr defaultRowHeight="14.5" x14ac:dyDescent="0.35"/>
  <cols>
    <col min="1" max="1" width="35.26953125" bestFit="1" customWidth="1"/>
    <col min="2" max="2" width="6.54296875" bestFit="1" customWidth="1"/>
    <col min="3" max="3" width="8.90625" bestFit="1" customWidth="1"/>
    <col min="4" max="4" width="7.90625" bestFit="1" customWidth="1"/>
  </cols>
  <sheetData>
    <row r="1" spans="1:4" x14ac:dyDescent="0.35">
      <c r="A1" s="21" t="s">
        <v>30</v>
      </c>
      <c r="B1" s="21"/>
      <c r="C1" s="21"/>
      <c r="D1" s="21"/>
    </row>
    <row r="2" spans="1:4" ht="15" thickBot="1" x14ac:dyDescent="0.4"/>
    <row r="3" spans="1:4" ht="15" thickBot="1" x14ac:dyDescent="0.4">
      <c r="A3" s="28" t="s">
        <v>44</v>
      </c>
      <c r="B3" s="16"/>
    </row>
    <row r="4" spans="1:4" ht="15" thickBot="1" x14ac:dyDescent="0.4">
      <c r="A4" s="16"/>
      <c r="B4" s="28" t="s">
        <v>24</v>
      </c>
      <c r="C4" s="37" t="s">
        <v>25</v>
      </c>
      <c r="D4" s="28" t="s">
        <v>26</v>
      </c>
    </row>
    <row r="5" spans="1:4" x14ac:dyDescent="0.35">
      <c r="A5" s="18" t="s">
        <v>32</v>
      </c>
      <c r="B5" s="31">
        <f>C5-1.5%</f>
        <v>5.8325487921670228E-3</v>
      </c>
      <c r="C5" s="38">
        <v>2.0832548792167022E-2</v>
      </c>
      <c r="D5" s="31">
        <f>C5+1.4%</f>
        <v>3.4832548792167017E-2</v>
      </c>
    </row>
    <row r="6" spans="1:4" x14ac:dyDescent="0.35">
      <c r="A6" s="1" t="s">
        <v>33</v>
      </c>
      <c r="B6" s="31">
        <f t="shared" ref="B6:B16" si="0">C6-1.5%</f>
        <v>1.5916354251712693E-2</v>
      </c>
      <c r="C6" s="39">
        <v>3.0916354251712692E-2</v>
      </c>
      <c r="D6" s="31">
        <f t="shared" ref="D6:D16" si="1">C6+1.4%</f>
        <v>4.4916354251712691E-2</v>
      </c>
    </row>
    <row r="7" spans="1:4" ht="15" thickBot="1" x14ac:dyDescent="0.4">
      <c r="A7" s="23" t="s">
        <v>34</v>
      </c>
      <c r="B7" s="31">
        <f t="shared" si="0"/>
        <v>1.8946289785449849E-2</v>
      </c>
      <c r="C7" s="40">
        <v>3.3946289785449849E-2</v>
      </c>
      <c r="D7" s="31">
        <f t="shared" si="1"/>
        <v>4.7946289785449847E-2</v>
      </c>
    </row>
    <row r="8" spans="1:4" ht="15" thickBot="1" x14ac:dyDescent="0.4">
      <c r="A8" s="34"/>
      <c r="B8" s="31"/>
      <c r="C8" s="35"/>
      <c r="D8" s="31"/>
    </row>
    <row r="9" spans="1:4" x14ac:dyDescent="0.35">
      <c r="A9" s="25" t="s">
        <v>35</v>
      </c>
      <c r="B9" s="31">
        <f t="shared" si="0"/>
        <v>1.6262441152734945E-2</v>
      </c>
      <c r="C9" s="38">
        <v>3.1262441152734945E-2</v>
      </c>
      <c r="D9" s="31">
        <f t="shared" si="1"/>
        <v>4.5262441152734943E-2</v>
      </c>
    </row>
    <row r="10" spans="1:4" x14ac:dyDescent="0.35">
      <c r="A10" s="1" t="s">
        <v>36</v>
      </c>
      <c r="B10" s="31">
        <f t="shared" si="0"/>
        <v>2.618652609699075E-2</v>
      </c>
      <c r="C10" s="39">
        <v>4.118652609699075E-2</v>
      </c>
      <c r="D10" s="31">
        <f t="shared" si="1"/>
        <v>5.5186526096990748E-2</v>
      </c>
    </row>
    <row r="11" spans="1:4" ht="15" thickBot="1" x14ac:dyDescent="0.4">
      <c r="A11" s="23" t="s">
        <v>37</v>
      </c>
      <c r="B11" s="31">
        <f t="shared" si="0"/>
        <v>2.6548169215881351E-2</v>
      </c>
      <c r="C11" s="40">
        <v>4.154816921588135E-2</v>
      </c>
      <c r="D11" s="31">
        <f t="shared" si="1"/>
        <v>5.5548169215881349E-2</v>
      </c>
    </row>
    <row r="12" spans="1:4" ht="15" thickBot="1" x14ac:dyDescent="0.4">
      <c r="A12" s="34"/>
      <c r="B12" s="31"/>
      <c r="C12" s="41"/>
      <c r="D12" s="31"/>
    </row>
    <row r="13" spans="1:4" x14ac:dyDescent="0.35">
      <c r="A13" s="26" t="s">
        <v>38</v>
      </c>
      <c r="B13" s="31">
        <f t="shared" si="0"/>
        <v>1.8064103030219145E-3</v>
      </c>
      <c r="C13" s="38">
        <v>1.6806410303021914E-2</v>
      </c>
      <c r="D13" s="31">
        <f t="shared" si="1"/>
        <v>3.0806410303021912E-2</v>
      </c>
    </row>
    <row r="14" spans="1:4" x14ac:dyDescent="0.35">
      <c r="A14" s="18" t="s">
        <v>39</v>
      </c>
      <c r="B14" s="31">
        <f t="shared" si="0"/>
        <v>1.6734146380421713E-2</v>
      </c>
      <c r="C14" s="39">
        <v>3.1734146380421713E-2</v>
      </c>
      <c r="D14" s="31">
        <f t="shared" si="1"/>
        <v>4.5734146380421711E-2</v>
      </c>
    </row>
    <row r="15" spans="1:4" ht="15" thickBot="1" x14ac:dyDescent="0.4">
      <c r="A15" s="24" t="s">
        <v>40</v>
      </c>
      <c r="B15" s="51">
        <f t="shared" si="0"/>
        <v>-4.5754857662999755E-3</v>
      </c>
      <c r="C15" s="40">
        <v>1.0424514233700024E-2</v>
      </c>
      <c r="D15" s="51">
        <f t="shared" si="1"/>
        <v>2.4424514233700022E-2</v>
      </c>
    </row>
    <row r="16" spans="1:4" ht="15" thickBot="1" x14ac:dyDescent="0.4">
      <c r="A16" s="34"/>
      <c r="B16" s="52"/>
      <c r="C16" s="41"/>
      <c r="D16" s="54"/>
    </row>
    <row r="17" spans="1:4" x14ac:dyDescent="0.35">
      <c r="A17" s="26" t="s">
        <v>101</v>
      </c>
      <c r="B17" s="51">
        <f>C17-1.5%</f>
        <v>-1.7321291688061444E-2</v>
      </c>
      <c r="C17" s="11">
        <v>-2.3212916880614438E-3</v>
      </c>
      <c r="D17" s="51">
        <f>C17+1.4%</f>
        <v>1.1678708311938554E-2</v>
      </c>
    </row>
    <row r="18" spans="1:4" x14ac:dyDescent="0.35">
      <c r="A18" s="18" t="s">
        <v>102</v>
      </c>
      <c r="B18" s="51">
        <f t="shared" ref="B18:B19" si="2">C18-1.5%</f>
        <v>4.7445766580917495E-2</v>
      </c>
      <c r="C18" s="2">
        <v>6.2445766580917494E-2</v>
      </c>
      <c r="D18" s="51">
        <f t="shared" ref="D18:D19" si="3">C18+1.4%</f>
        <v>7.6445766580917493E-2</v>
      </c>
    </row>
    <row r="19" spans="1:4" ht="15" thickBot="1" x14ac:dyDescent="0.4">
      <c r="A19" s="24" t="s">
        <v>103</v>
      </c>
      <c r="B19" s="51">
        <f t="shared" si="2"/>
        <v>-2.0513981156728853E-2</v>
      </c>
      <c r="C19" s="30">
        <v>-5.5139811567288515E-3</v>
      </c>
      <c r="D19" s="51">
        <f t="shared" si="3"/>
        <v>8.486018843271147E-3</v>
      </c>
    </row>
    <row r="20" spans="1:4" ht="15" thickBot="1" x14ac:dyDescent="0.4">
      <c r="A20" s="27"/>
      <c r="B20" s="52"/>
      <c r="C20" s="53"/>
      <c r="D20" s="54"/>
    </row>
    <row r="22" spans="1:4" x14ac:dyDescent="0.35">
      <c r="A22" s="3" t="s">
        <v>45</v>
      </c>
      <c r="B22" s="33">
        <v>0.03</v>
      </c>
      <c r="C22" s="33">
        <v>0.03</v>
      </c>
      <c r="D22" s="33">
        <v>0.03</v>
      </c>
    </row>
    <row r="23" spans="1:4" ht="15" thickBot="1" x14ac:dyDescent="0.4"/>
    <row r="24" spans="1:4" ht="15" thickBot="1" x14ac:dyDescent="0.4">
      <c r="A24" s="42" t="s">
        <v>27</v>
      </c>
      <c r="B24" s="43"/>
      <c r="C24" s="36"/>
    </row>
    <row r="25" spans="1:4" x14ac:dyDescent="0.35">
      <c r="A25" s="25" t="s">
        <v>28</v>
      </c>
      <c r="B25" s="44" t="s">
        <v>29</v>
      </c>
    </row>
    <row r="26" spans="1:4" x14ac:dyDescent="0.35">
      <c r="A26" s="18" t="s">
        <v>32</v>
      </c>
      <c r="B26" s="45">
        <f>IF($B$25="Base",C5,IF($B$25="Bear",B5,D5))</f>
        <v>2.0832548792167022E-2</v>
      </c>
      <c r="C26" s="32"/>
    </row>
    <row r="27" spans="1:4" x14ac:dyDescent="0.35">
      <c r="A27" s="1" t="s">
        <v>33</v>
      </c>
      <c r="B27" s="46">
        <f>IF($B$25="Base",C6,IF($B$25="Bear",B6,D6))</f>
        <v>3.0916354251712692E-2</v>
      </c>
    </row>
    <row r="28" spans="1:4" x14ac:dyDescent="0.35">
      <c r="A28" s="1" t="s">
        <v>34</v>
      </c>
      <c r="B28" s="46">
        <f>IF($B$25="Base",C7,IF($B$25="Bear",B7,D7))</f>
        <v>3.3946289785449849E-2</v>
      </c>
    </row>
    <row r="29" spans="1:4" x14ac:dyDescent="0.35">
      <c r="A29" s="1" t="s">
        <v>35</v>
      </c>
      <c r="B29" s="46">
        <f>IF($B$25="Base",C9,IF($B$25="Bear",B9,D9))</f>
        <v>3.1262441152734945E-2</v>
      </c>
    </row>
    <row r="30" spans="1:4" x14ac:dyDescent="0.35">
      <c r="A30" s="1" t="s">
        <v>36</v>
      </c>
      <c r="B30" s="46">
        <f>IF($B$25="Base",C10,IF($B$25="Bear",B10,D10))</f>
        <v>4.118652609699075E-2</v>
      </c>
    </row>
    <row r="31" spans="1:4" x14ac:dyDescent="0.35">
      <c r="A31" s="1" t="s">
        <v>37</v>
      </c>
      <c r="B31" s="46">
        <f>IF($B$25="Base",C11,IF($B$25="Bear",B11,D11))</f>
        <v>4.154816921588135E-2</v>
      </c>
    </row>
    <row r="32" spans="1:4" x14ac:dyDescent="0.35">
      <c r="A32" s="18" t="s">
        <v>38</v>
      </c>
      <c r="B32" s="46">
        <f>IF($B$25="Base",C13,IF($B$25="Bear",B13,D13))</f>
        <v>1.6806410303021914E-2</v>
      </c>
    </row>
    <row r="33" spans="1:2" x14ac:dyDescent="0.35">
      <c r="A33" s="18" t="s">
        <v>39</v>
      </c>
      <c r="B33" s="46">
        <f t="shared" ref="B33:B34" si="4">IF($B$25="Base",C14,IF($B$25="Bear",B14,D14))</f>
        <v>3.1734146380421713E-2</v>
      </c>
    </row>
    <row r="34" spans="1:2" x14ac:dyDescent="0.35">
      <c r="A34" s="18" t="s">
        <v>40</v>
      </c>
      <c r="B34" s="46">
        <f t="shared" si="4"/>
        <v>1.0424514233700024E-2</v>
      </c>
    </row>
    <row r="35" spans="1:2" x14ac:dyDescent="0.35">
      <c r="A35" s="18" t="s">
        <v>46</v>
      </c>
      <c r="B35" s="47">
        <f>IF($B$25="Base",C22,IF($B$25="Bear",B22,D22))</f>
        <v>0.03</v>
      </c>
    </row>
    <row r="36" spans="1:2" x14ac:dyDescent="0.35">
      <c r="A36" s="26" t="s">
        <v>101</v>
      </c>
      <c r="B36" s="47">
        <f>IF($B$25="Base",C17,IF($B$25="Bear",B17,D17))</f>
        <v>-2.3212916880614438E-3</v>
      </c>
    </row>
    <row r="37" spans="1:2" x14ac:dyDescent="0.35">
      <c r="A37" s="18" t="s">
        <v>102</v>
      </c>
      <c r="B37" s="47">
        <f t="shared" ref="B37:B38" si="5">IF($B$25="Base",C18,IF($B$25="Bear",B18,D18))</f>
        <v>6.2445766580917494E-2</v>
      </c>
    </row>
    <row r="38" spans="1:2" x14ac:dyDescent="0.35">
      <c r="A38" s="18" t="s">
        <v>103</v>
      </c>
      <c r="B38" s="47">
        <f t="shared" si="5"/>
        <v>-5.5139811567288515E-3</v>
      </c>
    </row>
  </sheetData>
  <mergeCells count="1">
    <mergeCell ref="A1:D1"/>
  </mergeCells>
  <dataValidations count="1">
    <dataValidation type="list" allowBlank="1" showInputMessage="1" showErrorMessage="1" sqref="B25" xr:uid="{883C15B8-2D93-4BF3-8A56-1CA986DAEFAE}">
      <formula1>"Base,Bear,Bull"</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235EC-A248-481C-B441-33ED624DEAE7}">
  <sheetPr>
    <tabColor rgb="FF92D050"/>
  </sheetPr>
  <dimension ref="A1:I30"/>
  <sheetViews>
    <sheetView topLeftCell="A12" workbookViewId="0">
      <selection activeCell="D34" sqref="D34"/>
    </sheetView>
  </sheetViews>
  <sheetFormatPr defaultRowHeight="14.5" x14ac:dyDescent="0.35"/>
  <cols>
    <col min="1" max="1" width="22" bestFit="1" customWidth="1"/>
    <col min="2" max="9" width="14.54296875" bestFit="1" customWidth="1"/>
  </cols>
  <sheetData>
    <row r="1" spans="1:9" x14ac:dyDescent="0.35">
      <c r="A1" s="48" t="s">
        <v>47</v>
      </c>
      <c r="B1" s="48"/>
      <c r="C1" s="48"/>
      <c r="D1" s="48"/>
      <c r="E1" s="48"/>
      <c r="F1" s="48"/>
    </row>
    <row r="3" spans="1:9" x14ac:dyDescent="0.35">
      <c r="B3" s="3" t="s">
        <v>48</v>
      </c>
      <c r="C3" s="3" t="s">
        <v>49</v>
      </c>
      <c r="D3" s="3" t="s">
        <v>50</v>
      </c>
      <c r="E3" s="3" t="s">
        <v>51</v>
      </c>
      <c r="F3" s="3" t="s">
        <v>52</v>
      </c>
      <c r="G3" s="3" t="s">
        <v>53</v>
      </c>
      <c r="H3" s="3" t="s">
        <v>54</v>
      </c>
      <c r="I3" s="3" t="s">
        <v>55</v>
      </c>
    </row>
    <row r="4" spans="1:9" x14ac:dyDescent="0.35">
      <c r="A4" s="8" t="s">
        <v>56</v>
      </c>
    </row>
    <row r="5" spans="1:9" x14ac:dyDescent="0.35">
      <c r="A5" s="1" t="s">
        <v>2</v>
      </c>
      <c r="B5" s="5">
        <v>185000</v>
      </c>
      <c r="C5" s="5">
        <v>172000</v>
      </c>
      <c r="D5" s="5">
        <v>178000</v>
      </c>
      <c r="E5" s="5">
        <v>188000</v>
      </c>
      <c r="F5" s="5">
        <v>196000</v>
      </c>
      <c r="G5" s="5">
        <v>204000</v>
      </c>
      <c r="H5" s="5">
        <f>G5*(1+ASSUMPTIONS!$B$26)</f>
        <v>208249.83995360206</v>
      </c>
      <c r="I5" s="5">
        <f>H5*(1+ASSUMPTIONS!$B$26)</f>
        <v>212588.21490539645</v>
      </c>
    </row>
    <row r="6" spans="1:9" x14ac:dyDescent="0.35">
      <c r="A6" s="1" t="s">
        <v>3</v>
      </c>
      <c r="B6" s="1">
        <f>ACTUALS!D4</f>
        <v>445</v>
      </c>
      <c r="C6" s="1">
        <f>ACTUALS!D5</f>
        <v>448</v>
      </c>
      <c r="D6" s="1">
        <f>ACTUALS!D6</f>
        <v>452</v>
      </c>
      <c r="E6" s="1">
        <f>ACTUALS!D7</f>
        <v>458</v>
      </c>
      <c r="F6" s="1">
        <f>ACTUALS!D8</f>
        <v>463</v>
      </c>
      <c r="G6" s="1">
        <f>ACTUALS!D9</f>
        <v>468</v>
      </c>
      <c r="H6" s="49">
        <f>G6*(1+ASSUMPTIONS!$B$29)</f>
        <v>482.63082245947993</v>
      </c>
      <c r="I6" s="49">
        <f>H6*(1+ASSUMPTIONS!$B$29)</f>
        <v>497.71904014511546</v>
      </c>
    </row>
    <row r="7" spans="1:9" x14ac:dyDescent="0.35">
      <c r="A7" s="1" t="s">
        <v>4</v>
      </c>
      <c r="B7" s="7">
        <f>B5*B6</f>
        <v>82325000</v>
      </c>
      <c r="C7" s="7">
        <f t="shared" ref="C7:I7" si="0">C5*C6</f>
        <v>77056000</v>
      </c>
      <c r="D7" s="7">
        <f t="shared" si="0"/>
        <v>80456000</v>
      </c>
      <c r="E7" s="7">
        <f t="shared" si="0"/>
        <v>86104000</v>
      </c>
      <c r="F7" s="7">
        <f t="shared" si="0"/>
        <v>90748000</v>
      </c>
      <c r="G7" s="7">
        <f t="shared" si="0"/>
        <v>95472000</v>
      </c>
      <c r="H7" s="7">
        <f t="shared" si="0"/>
        <v>100507791.53386202</v>
      </c>
      <c r="I7" s="7">
        <f t="shared" si="0"/>
        <v>105809202.26887745</v>
      </c>
    </row>
    <row r="8" spans="1:9" x14ac:dyDescent="0.35">
      <c r="A8" s="1" t="s">
        <v>57</v>
      </c>
      <c r="B8" s="7">
        <f>B7*(ASSUMPTIONS!$B$35)</f>
        <v>2469750</v>
      </c>
      <c r="C8" s="7">
        <f>C7*(ASSUMPTIONS!$B$35)</f>
        <v>2311680</v>
      </c>
      <c r="D8" s="7">
        <f>D7*(ASSUMPTIONS!$B$35)</f>
        <v>2413680</v>
      </c>
      <c r="E8" s="7">
        <f>E7*(ASSUMPTIONS!$B$35)</f>
        <v>2583120</v>
      </c>
      <c r="F8" s="7">
        <f>F7*(ASSUMPTIONS!$B$35)</f>
        <v>2722440</v>
      </c>
      <c r="G8" s="7">
        <f>G7*(ASSUMPTIONS!$B$35)</f>
        <v>2864160</v>
      </c>
      <c r="H8" s="7">
        <f>H7*(ASSUMPTIONS!$B$35)</f>
        <v>3015233.7460158607</v>
      </c>
      <c r="I8" s="7">
        <f>I7*(ASSUMPTIONS!$B$35)</f>
        <v>3174276.0680663232</v>
      </c>
    </row>
    <row r="9" spans="1:9" x14ac:dyDescent="0.35">
      <c r="A9" s="1" t="s">
        <v>6</v>
      </c>
      <c r="B9" s="7">
        <f>B7-B8</f>
        <v>79855250</v>
      </c>
      <c r="C9" s="7">
        <f t="shared" ref="C9:I9" si="1">C7-C8</f>
        <v>74744320</v>
      </c>
      <c r="D9" s="7">
        <f t="shared" si="1"/>
        <v>78042320</v>
      </c>
      <c r="E9" s="7">
        <f t="shared" si="1"/>
        <v>83520880</v>
      </c>
      <c r="F9" s="7">
        <f t="shared" si="1"/>
        <v>88025560</v>
      </c>
      <c r="G9" s="7">
        <f t="shared" si="1"/>
        <v>92607840</v>
      </c>
      <c r="H9" s="7">
        <f t="shared" si="1"/>
        <v>97492557.787846163</v>
      </c>
      <c r="I9" s="7">
        <f t="shared" si="1"/>
        <v>102634926.20081112</v>
      </c>
    </row>
    <row r="11" spans="1:9" x14ac:dyDescent="0.35">
      <c r="A11" s="8" t="s">
        <v>58</v>
      </c>
    </row>
    <row r="12" spans="1:9" x14ac:dyDescent="0.35">
      <c r="A12" s="1" t="s">
        <v>2</v>
      </c>
      <c r="B12" s="5">
        <v>142000</v>
      </c>
      <c r="C12" s="5">
        <v>138000</v>
      </c>
      <c r="D12" s="5">
        <v>144000</v>
      </c>
      <c r="E12" s="5">
        <v>151000</v>
      </c>
      <c r="F12" s="5">
        <v>158000</v>
      </c>
      <c r="G12" s="5">
        <v>165000</v>
      </c>
      <c r="H12" s="5">
        <f>G12*(1+ASSUMPTIONS!$B$27)</f>
        <v>170101.1984515326</v>
      </c>
      <c r="I12" s="5">
        <f>H12*(1+ASSUMPTIONS!$B$27)</f>
        <v>175360.10736150108</v>
      </c>
    </row>
    <row r="13" spans="1:9" x14ac:dyDescent="0.35">
      <c r="A13" s="1" t="s">
        <v>3</v>
      </c>
      <c r="B13" s="1">
        <v>375</v>
      </c>
      <c r="C13" s="1">
        <v>378</v>
      </c>
      <c r="D13" s="1">
        <v>382</v>
      </c>
      <c r="E13" s="1">
        <v>386</v>
      </c>
      <c r="F13" s="1">
        <v>390</v>
      </c>
      <c r="G13" s="1">
        <v>394</v>
      </c>
      <c r="H13" s="49">
        <f>G13*(1+ASSUMPTIONS!$B$30)</f>
        <v>410.22749128221437</v>
      </c>
      <c r="I13" s="49">
        <f>H13*(1+ASSUMPTIONS!$B$30)</f>
        <v>427.12333655761239</v>
      </c>
    </row>
    <row r="14" spans="1:9" x14ac:dyDescent="0.35">
      <c r="A14" s="1" t="s">
        <v>4</v>
      </c>
      <c r="B14" s="7">
        <f>B13*B12</f>
        <v>53250000</v>
      </c>
      <c r="C14" s="7">
        <f t="shared" ref="C14:I14" si="2">C13*C12</f>
        <v>52164000</v>
      </c>
      <c r="D14" s="7">
        <f t="shared" si="2"/>
        <v>55008000</v>
      </c>
      <c r="E14" s="7">
        <f t="shared" si="2"/>
        <v>58286000</v>
      </c>
      <c r="F14" s="7">
        <f t="shared" si="2"/>
        <v>61620000</v>
      </c>
      <c r="G14" s="7">
        <f t="shared" si="2"/>
        <v>65010000</v>
      </c>
      <c r="H14" s="7">
        <f t="shared" si="2"/>
        <v>69780187.904870301</v>
      </c>
      <c r="I14" s="7">
        <f t="shared" si="2"/>
        <v>74900394.15534547</v>
      </c>
    </row>
    <row r="15" spans="1:9" x14ac:dyDescent="0.35">
      <c r="A15" s="1" t="s">
        <v>57</v>
      </c>
      <c r="B15" s="7">
        <f>B14*ASSUMPTIONS!$B$35</f>
        <v>1597500</v>
      </c>
      <c r="C15" s="7">
        <f>C14*ASSUMPTIONS!$B$35</f>
        <v>1564920</v>
      </c>
      <c r="D15" s="7">
        <f>D14*ASSUMPTIONS!$B$35</f>
        <v>1650240</v>
      </c>
      <c r="E15" s="7">
        <f>E14*ASSUMPTIONS!$B$35</f>
        <v>1748580</v>
      </c>
      <c r="F15" s="7">
        <f>F14*ASSUMPTIONS!$B$35</f>
        <v>1848600</v>
      </c>
      <c r="G15" s="7">
        <f>G14*ASSUMPTIONS!$B$35</f>
        <v>1950300</v>
      </c>
      <c r="H15" s="7">
        <f>H14*ASSUMPTIONS!$B$35</f>
        <v>2093405.637146109</v>
      </c>
      <c r="I15" s="7">
        <f>I14*ASSUMPTIONS!$B$35</f>
        <v>2247011.8246603641</v>
      </c>
    </row>
    <row r="16" spans="1:9" x14ac:dyDescent="0.35">
      <c r="A16" s="1" t="s">
        <v>6</v>
      </c>
      <c r="B16" s="7">
        <f>B14-B15</f>
        <v>51652500</v>
      </c>
      <c r="C16" s="7">
        <f t="shared" ref="C16:I16" si="3">C14-C15</f>
        <v>50599080</v>
      </c>
      <c r="D16" s="7">
        <f t="shared" si="3"/>
        <v>53357760</v>
      </c>
      <c r="E16" s="7">
        <f t="shared" si="3"/>
        <v>56537420</v>
      </c>
      <c r="F16" s="7">
        <f t="shared" si="3"/>
        <v>59771400</v>
      </c>
      <c r="G16" s="7">
        <f t="shared" si="3"/>
        <v>63059700</v>
      </c>
      <c r="H16" s="7">
        <f t="shared" si="3"/>
        <v>67686782.267724186</v>
      </c>
      <c r="I16" s="7">
        <f t="shared" si="3"/>
        <v>72653382.330685109</v>
      </c>
    </row>
    <row r="18" spans="1:9" x14ac:dyDescent="0.35">
      <c r="A18" s="8" t="s">
        <v>59</v>
      </c>
    </row>
    <row r="19" spans="1:9" x14ac:dyDescent="0.35">
      <c r="A19" s="1" t="s">
        <v>2</v>
      </c>
      <c r="B19" s="5">
        <v>98000</v>
      </c>
      <c r="C19" s="5">
        <v>91000</v>
      </c>
      <c r="D19" s="5">
        <v>96000</v>
      </c>
      <c r="E19" s="5">
        <v>103000</v>
      </c>
      <c r="F19" s="5">
        <v>109000</v>
      </c>
      <c r="G19" s="5">
        <v>115000</v>
      </c>
      <c r="H19" s="5">
        <f>G19*(1+ASSUMPTIONS!$B$28)</f>
        <v>118903.82332532674</v>
      </c>
      <c r="I19" s="5">
        <f>H19*(1+ASSUMPTIONS!$B$28)</f>
        <v>122940.16696852622</v>
      </c>
    </row>
    <row r="20" spans="1:9" x14ac:dyDescent="0.35">
      <c r="A20" s="1" t="s">
        <v>3</v>
      </c>
      <c r="B20" s="1">
        <v>512</v>
      </c>
      <c r="C20" s="1">
        <v>515</v>
      </c>
      <c r="D20" s="1">
        <v>518</v>
      </c>
      <c r="E20" s="1">
        <v>522</v>
      </c>
      <c r="F20" s="1">
        <v>526</v>
      </c>
      <c r="G20" s="1">
        <v>531</v>
      </c>
      <c r="H20" s="49">
        <f>G20*(1+ASSUMPTIONS!$B$30)</f>
        <v>552.87004535750214</v>
      </c>
      <c r="I20" s="49">
        <f>H20*(1+ASSUMPTIONS!$B$30)</f>
        <v>575.64084190886342</v>
      </c>
    </row>
    <row r="21" spans="1:9" x14ac:dyDescent="0.35">
      <c r="A21" s="1" t="s">
        <v>4</v>
      </c>
      <c r="B21" s="7">
        <f>B20*B19</f>
        <v>50176000</v>
      </c>
      <c r="C21" s="7">
        <f t="shared" ref="C21:I21" si="4">C20*C19</f>
        <v>46865000</v>
      </c>
      <c r="D21" s="7">
        <f t="shared" si="4"/>
        <v>49728000</v>
      </c>
      <c r="E21" s="7">
        <f t="shared" si="4"/>
        <v>53766000</v>
      </c>
      <c r="F21" s="7">
        <f t="shared" si="4"/>
        <v>57334000</v>
      </c>
      <c r="G21" s="7">
        <f t="shared" si="4"/>
        <v>61065000</v>
      </c>
      <c r="H21" s="7">
        <f t="shared" si="4"/>
        <v>65738362.195053816</v>
      </c>
      <c r="I21" s="7">
        <f t="shared" si="4"/>
        <v>70769381.218178675</v>
      </c>
    </row>
    <row r="22" spans="1:9" x14ac:dyDescent="0.35">
      <c r="A22" s="1" t="s">
        <v>57</v>
      </c>
      <c r="B22" s="7">
        <f>B21*ASSUMPTIONS!$B$35</f>
        <v>1505280</v>
      </c>
      <c r="C22" s="7">
        <f>C21*ASSUMPTIONS!$B$35</f>
        <v>1405950</v>
      </c>
      <c r="D22" s="7">
        <f>D21*ASSUMPTIONS!$B$35</f>
        <v>1491840</v>
      </c>
      <c r="E22" s="7">
        <f>E21*ASSUMPTIONS!$B$35</f>
        <v>1612980</v>
      </c>
      <c r="F22" s="7">
        <f>F21*ASSUMPTIONS!$B$35</f>
        <v>1720020</v>
      </c>
      <c r="G22" s="7">
        <f>G21*ASSUMPTIONS!$B$35</f>
        <v>1831950</v>
      </c>
      <c r="H22" s="7">
        <f>H21*ASSUMPTIONS!$B$35</f>
        <v>1972150.8658516144</v>
      </c>
      <c r="I22" s="7">
        <f>I21*ASSUMPTIONS!$B$35</f>
        <v>2123081.4365453604</v>
      </c>
    </row>
    <row r="23" spans="1:9" x14ac:dyDescent="0.35">
      <c r="A23" s="1" t="s">
        <v>6</v>
      </c>
      <c r="B23" s="7">
        <f>B21-B22</f>
        <v>48670720</v>
      </c>
      <c r="C23" s="7">
        <f t="shared" ref="C23:I23" si="5">C21-C22</f>
        <v>45459050</v>
      </c>
      <c r="D23" s="7">
        <f t="shared" si="5"/>
        <v>48236160</v>
      </c>
      <c r="E23" s="7">
        <f t="shared" si="5"/>
        <v>52153020</v>
      </c>
      <c r="F23" s="7">
        <f t="shared" si="5"/>
        <v>55613980</v>
      </c>
      <c r="G23" s="7">
        <f t="shared" si="5"/>
        <v>59233050</v>
      </c>
      <c r="H23" s="7">
        <f t="shared" si="5"/>
        <v>63766211.329202205</v>
      </c>
      <c r="I23" s="7">
        <f t="shared" si="5"/>
        <v>68646299.781633317</v>
      </c>
    </row>
    <row r="25" spans="1:9" x14ac:dyDescent="0.35">
      <c r="A25" s="8" t="s">
        <v>60</v>
      </c>
    </row>
    <row r="26" spans="1:9" x14ac:dyDescent="0.35">
      <c r="A26" s="1" t="s">
        <v>61</v>
      </c>
      <c r="B26" s="5">
        <f>SUM(B5,B12,B19)</f>
        <v>425000</v>
      </c>
      <c r="C26" s="5">
        <f t="shared" ref="C26:I26" si="6">SUM(C5,C12,C19)</f>
        <v>401000</v>
      </c>
      <c r="D26" s="5">
        <f t="shared" si="6"/>
        <v>418000</v>
      </c>
      <c r="E26" s="5">
        <f t="shared" si="6"/>
        <v>442000</v>
      </c>
      <c r="F26" s="5">
        <f t="shared" si="6"/>
        <v>463000</v>
      </c>
      <c r="G26" s="5">
        <f t="shared" si="6"/>
        <v>484000</v>
      </c>
      <c r="H26" s="5">
        <f t="shared" si="6"/>
        <v>497254.86173046142</v>
      </c>
      <c r="I26" s="5">
        <f t="shared" si="6"/>
        <v>510888.48923542374</v>
      </c>
    </row>
    <row r="27" spans="1:9" x14ac:dyDescent="0.35">
      <c r="A27" s="1" t="s">
        <v>62</v>
      </c>
      <c r="B27" s="7">
        <f>SUM(B7,B14,B21)</f>
        <v>185751000</v>
      </c>
      <c r="C27" s="7">
        <f t="shared" ref="C27:I27" si="7">SUM(C7,C14,C21)</f>
        <v>176085000</v>
      </c>
      <c r="D27" s="7">
        <f t="shared" si="7"/>
        <v>185192000</v>
      </c>
      <c r="E27" s="7">
        <f t="shared" si="7"/>
        <v>198156000</v>
      </c>
      <c r="F27" s="7">
        <f t="shared" si="7"/>
        <v>209702000</v>
      </c>
      <c r="G27" s="7">
        <f t="shared" si="7"/>
        <v>221547000</v>
      </c>
      <c r="H27" s="7">
        <f t="shared" si="7"/>
        <v>236026341.63378614</v>
      </c>
      <c r="I27" s="7">
        <f t="shared" si="7"/>
        <v>251478977.64240158</v>
      </c>
    </row>
    <row r="28" spans="1:9" x14ac:dyDescent="0.35">
      <c r="A28" s="1" t="s">
        <v>63</v>
      </c>
      <c r="B28" s="7">
        <f>SUM(B8,B15,B22)</f>
        <v>5572530</v>
      </c>
      <c r="C28" s="7">
        <f t="shared" ref="C28:I28" si="8">SUM(C8,C15,C22)</f>
        <v>5282550</v>
      </c>
      <c r="D28" s="7">
        <f t="shared" si="8"/>
        <v>5555760</v>
      </c>
      <c r="E28" s="7">
        <f t="shared" si="8"/>
        <v>5944680</v>
      </c>
      <c r="F28" s="7">
        <f t="shared" si="8"/>
        <v>6291060</v>
      </c>
      <c r="G28" s="7">
        <f t="shared" si="8"/>
        <v>6646410</v>
      </c>
      <c r="H28" s="7">
        <f t="shared" si="8"/>
        <v>7080790.2490135841</v>
      </c>
      <c r="I28" s="7">
        <f t="shared" si="8"/>
        <v>7544369.3292720485</v>
      </c>
    </row>
    <row r="29" spans="1:9" x14ac:dyDescent="0.35">
      <c r="A29" s="1" t="s">
        <v>64</v>
      </c>
      <c r="B29" s="7">
        <f>SUM(B9,B16,B23)</f>
        <v>180178470</v>
      </c>
      <c r="C29" s="7">
        <f t="shared" ref="C29:I29" si="9">SUM(C9,C16,C23)</f>
        <v>170802450</v>
      </c>
      <c r="D29" s="7">
        <f t="shared" si="9"/>
        <v>179636240</v>
      </c>
      <c r="E29" s="7">
        <f t="shared" si="9"/>
        <v>192211320</v>
      </c>
      <c r="F29" s="7">
        <f t="shared" si="9"/>
        <v>203410940</v>
      </c>
      <c r="G29" s="7">
        <f t="shared" si="9"/>
        <v>214900590</v>
      </c>
      <c r="H29" s="7">
        <f t="shared" si="9"/>
        <v>228945551.38477257</v>
      </c>
      <c r="I29" s="7">
        <f t="shared" si="9"/>
        <v>243934608.31312954</v>
      </c>
    </row>
    <row r="30" spans="1:9" x14ac:dyDescent="0.35">
      <c r="A30" s="1" t="s">
        <v>65</v>
      </c>
      <c r="B30" s="50" t="s">
        <v>22</v>
      </c>
      <c r="C30" s="2">
        <f>((C27-B27)/B27)</f>
        <v>-5.2037404913028731E-2</v>
      </c>
      <c r="D30" s="2">
        <f t="shared" ref="D30:I30" si="10">((D27-C27)/C27)</f>
        <v>5.1719340091433114E-2</v>
      </c>
      <c r="E30" s="2">
        <f t="shared" si="10"/>
        <v>7.00030238887209E-2</v>
      </c>
      <c r="F30" s="2">
        <f t="shared" si="10"/>
        <v>5.8267223803467973E-2</v>
      </c>
      <c r="G30" s="2">
        <f t="shared" si="10"/>
        <v>5.6484916691304801E-2</v>
      </c>
      <c r="H30" s="2">
        <f t="shared" si="10"/>
        <v>6.5355620404637133E-2</v>
      </c>
      <c r="I30" s="2">
        <f t="shared" si="10"/>
        <v>6.5469963655969562E-2</v>
      </c>
    </row>
  </sheetData>
  <mergeCells count="1">
    <mergeCell ref="A1:F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7190-0336-4497-9D7E-716857F5080D}">
  <sheetPr>
    <tabColor rgb="FF00B0F0"/>
  </sheetPr>
  <dimension ref="A1:I45"/>
  <sheetViews>
    <sheetView workbookViewId="0">
      <selection activeCell="J15" sqref="J15"/>
    </sheetView>
  </sheetViews>
  <sheetFormatPr defaultRowHeight="14.5" x14ac:dyDescent="0.35"/>
  <cols>
    <col min="1" max="1" width="25.6328125" bestFit="1" customWidth="1"/>
    <col min="2" max="2" width="14.54296875" bestFit="1" customWidth="1"/>
    <col min="3" max="3" width="16" bestFit="1" customWidth="1"/>
    <col min="4" max="9" width="14.54296875" bestFit="1" customWidth="1"/>
  </cols>
  <sheetData>
    <row r="1" spans="1:9" x14ac:dyDescent="0.35">
      <c r="A1" s="48" t="s">
        <v>66</v>
      </c>
      <c r="B1" s="48"/>
      <c r="C1" s="48"/>
      <c r="D1" s="48"/>
      <c r="E1" s="48"/>
      <c r="F1" s="48"/>
      <c r="G1" s="48"/>
      <c r="H1" s="48"/>
    </row>
    <row r="3" spans="1:9" x14ac:dyDescent="0.35">
      <c r="B3" s="3" t="s">
        <v>48</v>
      </c>
      <c r="C3" s="3" t="s">
        <v>49</v>
      </c>
      <c r="D3" s="3" t="s">
        <v>50</v>
      </c>
      <c r="E3" s="3" t="s">
        <v>51</v>
      </c>
      <c r="F3" s="3" t="s">
        <v>52</v>
      </c>
      <c r="G3" s="3" t="s">
        <v>53</v>
      </c>
      <c r="H3" s="3" t="s">
        <v>54</v>
      </c>
      <c r="I3" s="3" t="s">
        <v>55</v>
      </c>
    </row>
    <row r="4" spans="1:9" x14ac:dyDescent="0.35">
      <c r="A4" s="3" t="s">
        <v>67</v>
      </c>
    </row>
    <row r="5" spans="1:9" x14ac:dyDescent="0.35">
      <c r="A5" s="1" t="s">
        <v>68</v>
      </c>
      <c r="B5" s="7">
        <f>REVENUE!B9</f>
        <v>79855250</v>
      </c>
      <c r="C5" s="7">
        <f>REVENUE!C9</f>
        <v>74744320</v>
      </c>
      <c r="D5" s="7">
        <f>REVENUE!D9</f>
        <v>78042320</v>
      </c>
      <c r="E5" s="7">
        <f>REVENUE!E9</f>
        <v>83520880</v>
      </c>
      <c r="F5" s="7">
        <f>REVENUE!F9</f>
        <v>88025560</v>
      </c>
      <c r="G5" s="7">
        <f>REVENUE!G9</f>
        <v>92607840</v>
      </c>
      <c r="H5" s="7">
        <f>REVENUE!H9</f>
        <v>97492557.787846163</v>
      </c>
      <c r="I5" s="7">
        <f>REVENUE!I9</f>
        <v>102634926.20081112</v>
      </c>
    </row>
    <row r="6" spans="1:9" x14ac:dyDescent="0.35">
      <c r="A6" s="1" t="s">
        <v>69</v>
      </c>
      <c r="B6" s="7">
        <f>REVENUE!B16</f>
        <v>51652500</v>
      </c>
      <c r="C6" s="7">
        <f>REVENUE!C16</f>
        <v>50599080</v>
      </c>
      <c r="D6" s="7">
        <f>REVENUE!D16</f>
        <v>53357760</v>
      </c>
      <c r="E6" s="7">
        <f>REVENUE!E16</f>
        <v>56537420</v>
      </c>
      <c r="F6" s="7">
        <f>REVENUE!F16</f>
        <v>59771400</v>
      </c>
      <c r="G6" s="7">
        <f>REVENUE!G16</f>
        <v>63059700</v>
      </c>
      <c r="H6" s="7">
        <f>REVENUE!H16</f>
        <v>67686782.267724186</v>
      </c>
      <c r="I6" s="7">
        <f>REVENUE!I16</f>
        <v>72653382.330685109</v>
      </c>
    </row>
    <row r="7" spans="1:9" x14ac:dyDescent="0.35">
      <c r="A7" s="1" t="s">
        <v>70</v>
      </c>
      <c r="B7" s="7">
        <f>REVENUE!B23</f>
        <v>48670720</v>
      </c>
      <c r="C7" s="7">
        <f>REVENUE!C23</f>
        <v>45459050</v>
      </c>
      <c r="D7" s="7">
        <f>REVENUE!D23</f>
        <v>48236160</v>
      </c>
      <c r="E7" s="7">
        <f>REVENUE!E23</f>
        <v>52153020</v>
      </c>
      <c r="F7" s="7">
        <f>REVENUE!F23</f>
        <v>55613980</v>
      </c>
      <c r="G7" s="7">
        <f>REVENUE!G23</f>
        <v>59233050</v>
      </c>
      <c r="H7" s="7">
        <f>REVENUE!H23</f>
        <v>63766211.329202205</v>
      </c>
      <c r="I7" s="7">
        <f>REVENUE!I23</f>
        <v>68646299.781633317</v>
      </c>
    </row>
    <row r="8" spans="1:9" x14ac:dyDescent="0.35">
      <c r="A8" s="1" t="s">
        <v>64</v>
      </c>
      <c r="B8" s="7">
        <f>B5+B6+B7</f>
        <v>180178470</v>
      </c>
      <c r="C8" s="7">
        <f t="shared" ref="C8:I8" si="0">C5+C6+C7</f>
        <v>170802450</v>
      </c>
      <c r="D8" s="7">
        <f t="shared" si="0"/>
        <v>179636240</v>
      </c>
      <c r="E8" s="7">
        <f t="shared" si="0"/>
        <v>192211320</v>
      </c>
      <c r="F8" s="7">
        <f t="shared" si="0"/>
        <v>203410940</v>
      </c>
      <c r="G8" s="7">
        <f t="shared" si="0"/>
        <v>214900590</v>
      </c>
      <c r="H8" s="7">
        <f t="shared" si="0"/>
        <v>228945551.38477257</v>
      </c>
      <c r="I8" s="7">
        <f t="shared" si="0"/>
        <v>243934608.31312954</v>
      </c>
    </row>
    <row r="9" spans="1:9" x14ac:dyDescent="0.35">
      <c r="A9" s="1" t="s">
        <v>71</v>
      </c>
      <c r="B9" s="50" t="s">
        <v>22</v>
      </c>
      <c r="C9" s="2">
        <f>((C8-B8)/B8)</f>
        <v>-5.2037404913028731E-2</v>
      </c>
      <c r="D9" s="2">
        <f t="shared" ref="D9:I9" si="1">((D8-C8)/C8)</f>
        <v>5.1719340091433114E-2</v>
      </c>
      <c r="E9" s="2">
        <f t="shared" si="1"/>
        <v>7.00030238887209E-2</v>
      </c>
      <c r="F9" s="2">
        <f t="shared" si="1"/>
        <v>5.8267223803467973E-2</v>
      </c>
      <c r="G9" s="2">
        <f t="shared" si="1"/>
        <v>5.6484916691304801E-2</v>
      </c>
      <c r="H9" s="2">
        <f t="shared" si="1"/>
        <v>6.5355620404637174E-2</v>
      </c>
      <c r="I9" s="2">
        <f t="shared" si="1"/>
        <v>6.5469963655969576E-2</v>
      </c>
    </row>
    <row r="11" spans="1:9" x14ac:dyDescent="0.35">
      <c r="A11" s="3" t="s">
        <v>72</v>
      </c>
    </row>
    <row r="12" spans="1:9" x14ac:dyDescent="0.35">
      <c r="A12" s="1" t="s">
        <v>73</v>
      </c>
      <c r="B12" s="7">
        <f>ACTUALS!F4</f>
        <v>44455500</v>
      </c>
      <c r="C12" s="7">
        <f>ACTUALS!F5</f>
        <v>44292160</v>
      </c>
      <c r="D12" s="7">
        <f>ACTUALS!F6</f>
        <v>43446240</v>
      </c>
      <c r="E12" s="7">
        <f>ACTUALS!F7</f>
        <v>45634120</v>
      </c>
      <c r="F12" s="7">
        <f>ACTUALS!F8</f>
        <v>47188960</v>
      </c>
      <c r="G12" s="7">
        <f>ACTUALS!F9</f>
        <v>48244800</v>
      </c>
      <c r="H12" s="7">
        <f>G12*(1+ASSUMPTIONS!$B$32)</f>
        <v>49055621.903787233</v>
      </c>
      <c r="I12" s="7">
        <f>H12*(1+ASSUMPTIONS!$B$32)</f>
        <v>49880070.813172191</v>
      </c>
    </row>
    <row r="13" spans="1:9" x14ac:dyDescent="0.35">
      <c r="A13" s="1" t="s">
        <v>74</v>
      </c>
      <c r="B13" s="7">
        <f>ACTUALS!F10</f>
        <v>22365000</v>
      </c>
      <c r="C13" s="7">
        <f>ACTUALS!F11</f>
        <v>23474000</v>
      </c>
      <c r="D13" s="7">
        <f>ACTUALS!F12</f>
        <v>23695190</v>
      </c>
      <c r="E13" s="7">
        <f>ACTUALS!F13</f>
        <v>24480120</v>
      </c>
      <c r="F13" s="7">
        <f>ACTUALS!F14</f>
        <v>25280200</v>
      </c>
      <c r="G13" s="7">
        <f>ACTUALS!F15</f>
        <v>26136000</v>
      </c>
      <c r="H13" s="7">
        <f>G13*(1+ASSUMPTIONS!$B$33)</f>
        <v>26965403.649798702</v>
      </c>
      <c r="I13" s="7">
        <f>H13*(1+ASSUMPTIONS!$B$33)</f>
        <v>27821127.716428574</v>
      </c>
    </row>
    <row r="14" spans="1:9" x14ac:dyDescent="0.35">
      <c r="A14" s="1" t="s">
        <v>75</v>
      </c>
      <c r="B14" s="7">
        <f>ACTUALS!F16</f>
        <v>28599320</v>
      </c>
      <c r="C14" s="7">
        <f>ACTUALS!F17</f>
        <v>28591650</v>
      </c>
      <c r="D14" s="7">
        <f>ACTUALS!F18</f>
        <v>27849680</v>
      </c>
      <c r="E14" s="7">
        <f>ACTUALS!F19</f>
        <v>28479980</v>
      </c>
      <c r="F14" s="7">
        <f>ACTUALS!F20</f>
        <v>29203340</v>
      </c>
      <c r="G14" s="7">
        <f>ACTUALS!F21</f>
        <v>30088500</v>
      </c>
      <c r="H14" s="7">
        <f>G14*(1+ASSUMPTIONS!$B$34)</f>
        <v>30402157.996520683</v>
      </c>
      <c r="I14" s="7">
        <f>H14*(1+ASSUMPTIONS!$B$34)</f>
        <v>30719085.725290611</v>
      </c>
    </row>
    <row r="15" spans="1:9" x14ac:dyDescent="0.35">
      <c r="A15" s="1" t="s">
        <v>76</v>
      </c>
      <c r="B15" s="7">
        <f>B12+B13+B14</f>
        <v>95419820</v>
      </c>
      <c r="C15" s="7">
        <f t="shared" ref="C15:I15" si="2">C12+C13+C14</f>
        <v>96357810</v>
      </c>
      <c r="D15" s="7">
        <f t="shared" si="2"/>
        <v>94991110</v>
      </c>
      <c r="E15" s="7">
        <f t="shared" si="2"/>
        <v>98594220</v>
      </c>
      <c r="F15" s="7">
        <f t="shared" si="2"/>
        <v>101672500</v>
      </c>
      <c r="G15" s="7">
        <f t="shared" si="2"/>
        <v>104469300</v>
      </c>
      <c r="H15" s="7">
        <f t="shared" si="2"/>
        <v>106423183.55010661</v>
      </c>
      <c r="I15" s="7">
        <f t="shared" si="2"/>
        <v>108420284.25489138</v>
      </c>
    </row>
    <row r="17" spans="1:9" x14ac:dyDescent="0.35">
      <c r="A17" s="3" t="s">
        <v>77</v>
      </c>
    </row>
    <row r="18" spans="1:9" x14ac:dyDescent="0.35">
      <c r="A18" s="1" t="s">
        <v>78</v>
      </c>
      <c r="B18" s="7">
        <f>ACTUALS!H4</f>
        <v>30504705.5</v>
      </c>
      <c r="C18" s="7">
        <f>ACTUALS!H5</f>
        <v>29972472.32</v>
      </c>
      <c r="D18" s="7">
        <f>ACTUALS!H6</f>
        <v>29499996.960000001</v>
      </c>
      <c r="E18" s="7">
        <f>ACTUALS!H7</f>
        <v>30819204.719999999</v>
      </c>
      <c r="F18" s="7">
        <f>ACTUALS!H8</f>
        <v>31865252.719999999</v>
      </c>
      <c r="G18" s="7">
        <f>ACTUALS!H9</f>
        <v>33153606.719999999</v>
      </c>
      <c r="H18" s="7">
        <f>G18*(1+ASSUMPTIONS!$B$36)</f>
        <v>33076647.528291605</v>
      </c>
      <c r="I18" s="7">
        <f>H18*(1+ASSUMPTIONS!$B$36)</f>
        <v>32999866.981315244</v>
      </c>
    </row>
    <row r="19" spans="1:9" x14ac:dyDescent="0.35">
      <c r="A19" s="1" t="s">
        <v>79</v>
      </c>
      <c r="B19" s="7">
        <f>ACTUALS!H10</f>
        <v>20557695</v>
      </c>
      <c r="C19" s="7">
        <f>ACTUALS!H11</f>
        <v>20846820.959999997</v>
      </c>
      <c r="D19" s="7">
        <f>ACTUALS!H12</f>
        <v>21129672.960000001</v>
      </c>
      <c r="E19" s="7">
        <f>ACTUALS!H13</f>
        <v>21936518.960000001</v>
      </c>
      <c r="F19" s="7">
        <f>ACTUALS!H14</f>
        <v>22772903.399999999</v>
      </c>
      <c r="G19" s="7">
        <f>ACTUALS!H15</f>
        <v>23710447.199999999</v>
      </c>
      <c r="H19" s="7">
        <f>G19*(1+ASSUMPTIONS!$B$37)</f>
        <v>25191064.251380369</v>
      </c>
      <c r="I19" s="7">
        <f>H19*(1+ASSUMPTIONS!$B$37)</f>
        <v>26764139.569546964</v>
      </c>
    </row>
    <row r="20" spans="1:9" x14ac:dyDescent="0.35">
      <c r="A20" s="1" t="s">
        <v>80</v>
      </c>
      <c r="B20" s="7">
        <f>ACTUALS!H16</f>
        <v>19176263.68</v>
      </c>
      <c r="C20" s="7">
        <f>ACTUALS!H17</f>
        <v>19001882.899999999</v>
      </c>
      <c r="D20" s="7">
        <f>ACTUALS!H18</f>
        <v>18908574.720000003</v>
      </c>
      <c r="E20" s="7">
        <f>ACTUALS!H19</f>
        <v>19765994.580000002</v>
      </c>
      <c r="F20" s="7">
        <f>ACTUALS!H20</f>
        <v>20632786.579999998</v>
      </c>
      <c r="G20" s="7">
        <f>ACTUALS!H21</f>
        <v>21797762.399999999</v>
      </c>
      <c r="H20" s="7">
        <f>G20*(1+ASSUMPTIONS!$B$38)</f>
        <v>21677569.948867545</v>
      </c>
      <c r="I20" s="7">
        <f>H20*(1+ASSUMPTIONS!$B$38)</f>
        <v>21558040.236645818</v>
      </c>
    </row>
    <row r="21" spans="1:9" x14ac:dyDescent="0.35">
      <c r="A21" s="1" t="s">
        <v>81</v>
      </c>
      <c r="B21" s="7">
        <f>SUM(B18:B20)</f>
        <v>70238664.180000007</v>
      </c>
      <c r="C21" s="7">
        <f t="shared" ref="C21:I21" si="3">SUM(C18:C20)</f>
        <v>69821176.180000007</v>
      </c>
      <c r="D21" s="7">
        <f t="shared" si="3"/>
        <v>69538244.640000001</v>
      </c>
      <c r="E21" s="7">
        <f t="shared" si="3"/>
        <v>72521718.260000005</v>
      </c>
      <c r="F21" s="7">
        <f t="shared" si="3"/>
        <v>75270942.699999988</v>
      </c>
      <c r="G21" s="7">
        <f t="shared" si="3"/>
        <v>78661816.319999993</v>
      </c>
      <c r="H21" s="7">
        <f t="shared" si="3"/>
        <v>79945281.728539526</v>
      </c>
      <c r="I21" s="7">
        <f t="shared" si="3"/>
        <v>81322046.787508026</v>
      </c>
    </row>
    <row r="23" spans="1:9" x14ac:dyDescent="0.35">
      <c r="A23" s="3" t="s">
        <v>82</v>
      </c>
    </row>
    <row r="24" spans="1:9" x14ac:dyDescent="0.35">
      <c r="A24" s="1" t="s">
        <v>83</v>
      </c>
      <c r="B24" s="7">
        <f>B5-B12-B18</f>
        <v>4895044.5</v>
      </c>
      <c r="C24" s="7">
        <f t="shared" ref="C24:I24" si="4">C5-C12-C18</f>
        <v>479687.6799999997</v>
      </c>
      <c r="D24" s="7">
        <f t="shared" si="4"/>
        <v>5096083.0399999991</v>
      </c>
      <c r="E24" s="7">
        <f t="shared" si="4"/>
        <v>7067555.2800000012</v>
      </c>
      <c r="F24" s="7">
        <f t="shared" si="4"/>
        <v>8971347.2800000012</v>
      </c>
      <c r="G24" s="7">
        <f t="shared" si="4"/>
        <v>11209433.280000001</v>
      </c>
      <c r="H24" s="7">
        <f t="shared" si="4"/>
        <v>15360288.355767325</v>
      </c>
      <c r="I24" s="7">
        <f t="shared" si="4"/>
        <v>19754988.406323683</v>
      </c>
    </row>
    <row r="25" spans="1:9" x14ac:dyDescent="0.35">
      <c r="A25" s="1" t="s">
        <v>84</v>
      </c>
      <c r="B25" s="7">
        <f>B6-B13-B19</f>
        <v>8729805</v>
      </c>
      <c r="C25" s="7">
        <f t="shared" ref="C25:I25" si="5">C6-C13-C19</f>
        <v>6278259.0400000028</v>
      </c>
      <c r="D25" s="7">
        <f t="shared" si="5"/>
        <v>8532897.0399999991</v>
      </c>
      <c r="E25" s="7">
        <f t="shared" si="5"/>
        <v>10120781.039999999</v>
      </c>
      <c r="F25" s="7">
        <f t="shared" si="5"/>
        <v>11718296.600000001</v>
      </c>
      <c r="G25" s="7">
        <f t="shared" si="5"/>
        <v>13213252.800000001</v>
      </c>
      <c r="H25" s="7">
        <f t="shared" si="5"/>
        <v>15530314.366545111</v>
      </c>
      <c r="I25" s="7">
        <f t="shared" si="5"/>
        <v>18068115.044709567</v>
      </c>
    </row>
    <row r="26" spans="1:9" x14ac:dyDescent="0.35">
      <c r="A26" s="1" t="s">
        <v>85</v>
      </c>
      <c r="B26" s="7">
        <f>B7-B14-B20</f>
        <v>895136.3200000003</v>
      </c>
      <c r="C26" s="7">
        <f t="shared" ref="C26:I26" si="6">C7-C14-C20</f>
        <v>-2134482.8999999985</v>
      </c>
      <c r="D26" s="7">
        <f t="shared" si="6"/>
        <v>1477905.2799999975</v>
      </c>
      <c r="E26" s="7">
        <f t="shared" si="6"/>
        <v>3907045.4199999981</v>
      </c>
      <c r="F26" s="7">
        <f t="shared" si="6"/>
        <v>5777853.4200000018</v>
      </c>
      <c r="G26" s="7">
        <f t="shared" si="6"/>
        <v>7346787.6000000015</v>
      </c>
      <c r="H26" s="7">
        <f t="shared" si="6"/>
        <v>11686483.383813977</v>
      </c>
      <c r="I26" s="7">
        <f t="shared" si="6"/>
        <v>16369173.819696888</v>
      </c>
    </row>
    <row r="27" spans="1:9" x14ac:dyDescent="0.35">
      <c r="A27" s="1" t="s">
        <v>86</v>
      </c>
      <c r="B27" s="7">
        <f>SUM(B24:B26)</f>
        <v>14519985.82</v>
      </c>
      <c r="C27" s="7">
        <f t="shared" ref="C27:I27" si="7">SUM(C24:C26)</f>
        <v>4623463.820000004</v>
      </c>
      <c r="D27" s="7">
        <f t="shared" si="7"/>
        <v>15106885.359999996</v>
      </c>
      <c r="E27" s="7">
        <f t="shared" si="7"/>
        <v>21095381.739999998</v>
      </c>
      <c r="F27" s="7">
        <f t="shared" si="7"/>
        <v>26467497.300000004</v>
      </c>
      <c r="G27" s="7">
        <f t="shared" si="7"/>
        <v>31769473.680000003</v>
      </c>
      <c r="H27" s="7">
        <f t="shared" si="7"/>
        <v>42577086.106126413</v>
      </c>
      <c r="I27" s="7">
        <f t="shared" si="7"/>
        <v>54192277.270730138</v>
      </c>
    </row>
    <row r="29" spans="1:9" x14ac:dyDescent="0.35">
      <c r="A29" s="20" t="s">
        <v>87</v>
      </c>
    </row>
    <row r="30" spans="1:9" x14ac:dyDescent="0.35">
      <c r="A30" s="8" t="s">
        <v>7</v>
      </c>
    </row>
    <row r="31" spans="1:9" x14ac:dyDescent="0.35">
      <c r="A31" s="1" t="s">
        <v>88</v>
      </c>
      <c r="B31" s="10">
        <f>B12/B5</f>
        <v>0.55670103092783507</v>
      </c>
      <c r="C31" s="10">
        <f t="shared" ref="C31:I31" si="8">C12/C5</f>
        <v>0.59258228585128614</v>
      </c>
      <c r="D31" s="10">
        <f t="shared" si="8"/>
        <v>0.55670103092783507</v>
      </c>
      <c r="E31" s="10">
        <f t="shared" si="8"/>
        <v>0.54637977952339578</v>
      </c>
      <c r="F31" s="10">
        <f t="shared" si="8"/>
        <v>0.53608247422680411</v>
      </c>
      <c r="G31" s="10">
        <f t="shared" si="8"/>
        <v>0.52095805279553009</v>
      </c>
      <c r="H31" s="10">
        <f t="shared" si="8"/>
        <v>0.50317299101473278</v>
      </c>
      <c r="I31" s="10">
        <f t="shared" si="8"/>
        <v>0.48599509601223828</v>
      </c>
    </row>
    <row r="32" spans="1:9" x14ac:dyDescent="0.35">
      <c r="A32" s="1" t="s">
        <v>89</v>
      </c>
      <c r="B32" s="10">
        <f>B13/B6</f>
        <v>0.4329896907216495</v>
      </c>
      <c r="C32" s="10">
        <f>B15/B8</f>
        <v>0.529585027556289</v>
      </c>
      <c r="D32" s="10">
        <f t="shared" ref="C32:I32" si="9">D13/D6</f>
        <v>0.44408142320817068</v>
      </c>
      <c r="E32" s="10">
        <f t="shared" si="9"/>
        <v>0.4329896907216495</v>
      </c>
      <c r="F32" s="10">
        <f t="shared" si="9"/>
        <v>0.42294809892356544</v>
      </c>
      <c r="G32" s="10">
        <f t="shared" si="9"/>
        <v>0.41446438850803285</v>
      </c>
      <c r="H32" s="10">
        <f t="shared" si="9"/>
        <v>0.39838507233423187</v>
      </c>
      <c r="I32" s="10">
        <f t="shared" si="9"/>
        <v>0.38292955983521137</v>
      </c>
    </row>
    <row r="33" spans="1:9" x14ac:dyDescent="0.35">
      <c r="A33" s="1" t="s">
        <v>90</v>
      </c>
      <c r="B33" s="10">
        <f>B14/B7</f>
        <v>0.58760831974542393</v>
      </c>
      <c r="C33" s="10">
        <f t="shared" ref="C33:I33" si="10">C14/C7</f>
        <v>0.62895397066150749</v>
      </c>
      <c r="D33" s="10">
        <f t="shared" si="10"/>
        <v>0.5773610502991946</v>
      </c>
      <c r="E33" s="10">
        <f t="shared" si="10"/>
        <v>0.54608496305678944</v>
      </c>
      <c r="F33" s="10">
        <f t="shared" si="10"/>
        <v>0.52510789553274195</v>
      </c>
      <c r="G33" s="10">
        <f t="shared" si="10"/>
        <v>0.50796810226723088</v>
      </c>
      <c r="H33" s="10">
        <f t="shared" si="10"/>
        <v>0.47677535426348583</v>
      </c>
      <c r="I33" s="10">
        <f t="shared" si="10"/>
        <v>0.44749805631198297</v>
      </c>
    </row>
    <row r="34" spans="1:9" x14ac:dyDescent="0.35">
      <c r="A34" s="4" t="s">
        <v>91</v>
      </c>
      <c r="B34" s="10">
        <f>B15/B8</f>
        <v>0.529585027556289</v>
      </c>
      <c r="C34" s="10">
        <f t="shared" ref="C34:I34" si="11">C15/C8</f>
        <v>0.56414770397028846</v>
      </c>
      <c r="D34" s="10">
        <f t="shared" si="11"/>
        <v>0.52879702892912928</v>
      </c>
      <c r="E34" s="10">
        <f t="shared" si="11"/>
        <v>0.51294700020789619</v>
      </c>
      <c r="F34" s="10">
        <f t="shared" si="11"/>
        <v>0.49983791432260233</v>
      </c>
      <c r="G34" s="10">
        <f t="shared" si="11"/>
        <v>0.48612849317910201</v>
      </c>
      <c r="H34" s="10">
        <f t="shared" si="11"/>
        <v>0.46484058286526264</v>
      </c>
      <c r="I34" s="10">
        <f t="shared" si="11"/>
        <v>0.44446454320133372</v>
      </c>
    </row>
    <row r="35" spans="1:9" x14ac:dyDescent="0.35">
      <c r="A35" s="17" t="s">
        <v>8</v>
      </c>
    </row>
    <row r="36" spans="1:9" x14ac:dyDescent="0.35">
      <c r="A36" s="1" t="s">
        <v>92</v>
      </c>
      <c r="B36" s="10">
        <f>B18/B5</f>
        <v>0.38200000000000001</v>
      </c>
      <c r="C36" s="10">
        <f t="shared" ref="C36:I36" si="12">C18/C5</f>
        <v>0.40100000000000002</v>
      </c>
      <c r="D36" s="10">
        <f t="shared" si="12"/>
        <v>0.378</v>
      </c>
      <c r="E36" s="10">
        <f t="shared" si="12"/>
        <v>0.36899999999999999</v>
      </c>
      <c r="F36" s="10">
        <f t="shared" si="12"/>
        <v>0.36199999999999999</v>
      </c>
      <c r="G36" s="10">
        <f t="shared" si="12"/>
        <v>0.35799999999999998</v>
      </c>
      <c r="H36" s="10">
        <f t="shared" si="12"/>
        <v>0.33927356383724994</v>
      </c>
      <c r="I36" s="10">
        <f t="shared" si="12"/>
        <v>0.32152667910287297</v>
      </c>
    </row>
    <row r="37" spans="1:9" x14ac:dyDescent="0.35">
      <c r="A37" s="1" t="s">
        <v>93</v>
      </c>
      <c r="B37" s="10">
        <f>B19/B6</f>
        <v>0.39800000000000002</v>
      </c>
      <c r="C37" s="10">
        <f t="shared" ref="C37:I37" si="13">C19/C6</f>
        <v>0.41199999999999992</v>
      </c>
      <c r="D37" s="10">
        <f t="shared" si="13"/>
        <v>0.39600000000000002</v>
      </c>
      <c r="E37" s="10">
        <f t="shared" si="13"/>
        <v>0.38800000000000001</v>
      </c>
      <c r="F37" s="10">
        <f t="shared" si="13"/>
        <v>0.38099999999999995</v>
      </c>
      <c r="G37" s="10">
        <f t="shared" si="13"/>
        <v>0.376</v>
      </c>
      <c r="H37" s="10">
        <f t="shared" si="13"/>
        <v>0.37217110058122077</v>
      </c>
      <c r="I37" s="10">
        <f t="shared" si="13"/>
        <v>0.36838119177616246</v>
      </c>
    </row>
    <row r="38" spans="1:9" x14ac:dyDescent="0.35">
      <c r="A38" s="1" t="s">
        <v>94</v>
      </c>
      <c r="B38" s="10">
        <f>B20/B7</f>
        <v>0.39400000000000002</v>
      </c>
      <c r="C38" s="10">
        <f t="shared" ref="C38:I38" si="14">C20/C7</f>
        <v>0.41799999999999998</v>
      </c>
      <c r="D38" s="10">
        <f t="shared" si="14"/>
        <v>0.39200000000000007</v>
      </c>
      <c r="E38" s="10">
        <f t="shared" si="14"/>
        <v>0.37900000000000006</v>
      </c>
      <c r="F38" s="10">
        <f t="shared" si="14"/>
        <v>0.37099999999999994</v>
      </c>
      <c r="G38" s="10">
        <f t="shared" si="14"/>
        <v>0.36799999999999999</v>
      </c>
      <c r="H38" s="10">
        <f t="shared" si="14"/>
        <v>0.33995386423311214</v>
      </c>
      <c r="I38" s="10">
        <f t="shared" si="14"/>
        <v>0.31404518969300349</v>
      </c>
    </row>
    <row r="39" spans="1:9" x14ac:dyDescent="0.35">
      <c r="A39" s="4" t="s">
        <v>95</v>
      </c>
      <c r="B39" s="10">
        <f>B21/B8</f>
        <v>0.38982828625417904</v>
      </c>
      <c r="C39" s="10">
        <f t="shared" ref="C39:I39" si="15">C21/C8</f>
        <v>0.40878322401113104</v>
      </c>
      <c r="D39" s="10">
        <f t="shared" si="15"/>
        <v>0.38710587930364165</v>
      </c>
      <c r="E39" s="10">
        <f t="shared" si="15"/>
        <v>0.37730201457437579</v>
      </c>
      <c r="F39" s="10">
        <f t="shared" si="15"/>
        <v>0.37004372871980235</v>
      </c>
      <c r="G39" s="10">
        <f t="shared" si="15"/>
        <v>0.36603815894595726</v>
      </c>
      <c r="H39" s="10">
        <f t="shared" si="15"/>
        <v>0.34918905934180461</v>
      </c>
      <c r="I39" s="10">
        <f t="shared" si="15"/>
        <v>0.33337642145110469</v>
      </c>
    </row>
    <row r="40" spans="1:9" x14ac:dyDescent="0.35">
      <c r="A40" s="17" t="s">
        <v>9</v>
      </c>
    </row>
    <row r="41" spans="1:9" x14ac:dyDescent="0.35">
      <c r="A41" s="1" t="s">
        <v>96</v>
      </c>
      <c r="B41" s="10">
        <f>SUM(B31,B36)</f>
        <v>0.93870103092783508</v>
      </c>
      <c r="C41" s="10">
        <f t="shared" ref="C41:I41" si="16">SUM(C31,C36)</f>
        <v>0.99358228585128616</v>
      </c>
      <c r="D41" s="10">
        <f t="shared" si="16"/>
        <v>0.93470103092783507</v>
      </c>
      <c r="E41" s="10">
        <f t="shared" si="16"/>
        <v>0.91537977952339578</v>
      </c>
      <c r="F41" s="10">
        <f t="shared" si="16"/>
        <v>0.89808247422680409</v>
      </c>
      <c r="G41" s="10">
        <f t="shared" si="16"/>
        <v>0.87895805279553008</v>
      </c>
      <c r="H41" s="10">
        <f t="shared" si="16"/>
        <v>0.84244655485198272</v>
      </c>
      <c r="I41" s="10">
        <f t="shared" si="16"/>
        <v>0.80752177511511125</v>
      </c>
    </row>
    <row r="42" spans="1:9" x14ac:dyDescent="0.35">
      <c r="A42" s="1" t="s">
        <v>97</v>
      </c>
      <c r="B42" s="10">
        <f t="shared" ref="B42:I43" si="17">SUM(B32,B37)</f>
        <v>0.83098969072164952</v>
      </c>
      <c r="C42" s="10">
        <f t="shared" si="17"/>
        <v>0.94158502755628892</v>
      </c>
      <c r="D42" s="10">
        <f t="shared" si="17"/>
        <v>0.8400814232081707</v>
      </c>
      <c r="E42" s="10">
        <f t="shared" si="17"/>
        <v>0.82098969072164951</v>
      </c>
      <c r="F42" s="10">
        <f t="shared" si="17"/>
        <v>0.80394809892356545</v>
      </c>
      <c r="G42" s="10">
        <f t="shared" si="17"/>
        <v>0.79046438850803291</v>
      </c>
      <c r="H42" s="10">
        <f t="shared" si="17"/>
        <v>0.77055617291545264</v>
      </c>
      <c r="I42" s="10">
        <f t="shared" si="17"/>
        <v>0.75131075161137384</v>
      </c>
    </row>
    <row r="43" spans="1:9" x14ac:dyDescent="0.35">
      <c r="A43" s="1" t="s">
        <v>98</v>
      </c>
      <c r="B43" s="10">
        <f>SUM(B33,B38)</f>
        <v>0.98160831974542395</v>
      </c>
      <c r="C43" s="10">
        <f t="shared" ref="C43:I43" si="18">SUM(C33,C38)</f>
        <v>1.0469539706615074</v>
      </c>
      <c r="D43" s="10">
        <f t="shared" si="18"/>
        <v>0.96936105029919473</v>
      </c>
      <c r="E43" s="10">
        <f t="shared" si="18"/>
        <v>0.92508496305678944</v>
      </c>
      <c r="F43" s="10">
        <f t="shared" si="18"/>
        <v>0.89610789553274195</v>
      </c>
      <c r="G43" s="10">
        <f t="shared" si="18"/>
        <v>0.87596810226723087</v>
      </c>
      <c r="H43" s="10">
        <f t="shared" si="18"/>
        <v>0.81672921849659796</v>
      </c>
      <c r="I43" s="10">
        <f t="shared" si="18"/>
        <v>0.76154324600498646</v>
      </c>
    </row>
    <row r="44" spans="1:9" ht="15" thickBot="1" x14ac:dyDescent="0.4">
      <c r="A44" s="55" t="s">
        <v>99</v>
      </c>
      <c r="B44" s="56">
        <f>C34+C39</f>
        <v>0.97293092798141956</v>
      </c>
      <c r="C44" s="56">
        <f>D34+D39</f>
        <v>0.91590290823277098</v>
      </c>
      <c r="D44" s="56">
        <f>E34+E39</f>
        <v>0.89024901478227192</v>
      </c>
      <c r="E44" s="56">
        <f>F34+F39</f>
        <v>0.86988164304240467</v>
      </c>
      <c r="F44" s="56">
        <f>G34+G39</f>
        <v>0.85216665212505927</v>
      </c>
      <c r="G44" s="56">
        <f>H34+H39</f>
        <v>0.81402964220706719</v>
      </c>
      <c r="H44" s="56">
        <f>I34+I39</f>
        <v>0.77784096465243846</v>
      </c>
      <c r="I44" s="56">
        <f>J34+J39</f>
        <v>0</v>
      </c>
    </row>
    <row r="45" spans="1:9" ht="15" thickBot="1" x14ac:dyDescent="0.4">
      <c r="A45" s="27" t="s">
        <v>100</v>
      </c>
      <c r="B45" s="57">
        <f>B27/B8</f>
        <v>8.0586686189531964E-2</v>
      </c>
      <c r="C45" s="57">
        <f t="shared" ref="C45:I45" si="19">C27/C8</f>
        <v>2.7069072018580553E-2</v>
      </c>
      <c r="D45" s="57">
        <f t="shared" si="19"/>
        <v>8.4097091767229126E-2</v>
      </c>
      <c r="E45" s="57">
        <f t="shared" si="19"/>
        <v>0.10975098521772807</v>
      </c>
      <c r="F45" s="57">
        <f t="shared" si="19"/>
        <v>0.13011835695759533</v>
      </c>
      <c r="G45" s="57">
        <f t="shared" si="19"/>
        <v>0.14783334787494071</v>
      </c>
      <c r="H45" s="57">
        <f t="shared" si="19"/>
        <v>0.18597035779293269</v>
      </c>
      <c r="I45" s="58">
        <f t="shared" si="19"/>
        <v>0.2221590353475616</v>
      </c>
    </row>
  </sheetData>
  <mergeCells count="1">
    <mergeCell ref="A1:H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08B00-D067-44D1-A0BA-BC7D336B598C}">
  <sheetPr>
    <tabColor rgb="FF0070C0"/>
  </sheetPr>
  <dimension ref="A1:H153"/>
  <sheetViews>
    <sheetView topLeftCell="A147" workbookViewId="0">
      <selection activeCell="L156" sqref="L156"/>
    </sheetView>
  </sheetViews>
  <sheetFormatPr defaultRowHeight="14.5" x14ac:dyDescent="0.35"/>
  <cols>
    <col min="3" max="3" width="10.81640625" customWidth="1"/>
  </cols>
  <sheetData>
    <row r="1" spans="1:8" ht="15" thickBot="1" x14ac:dyDescent="0.4">
      <c r="A1" s="71" t="s">
        <v>104</v>
      </c>
      <c r="B1" s="72"/>
      <c r="C1" s="72"/>
      <c r="D1" s="72"/>
      <c r="E1" s="72"/>
      <c r="F1" s="72"/>
      <c r="G1" s="72"/>
      <c r="H1" s="73"/>
    </row>
    <row r="2" spans="1:8" ht="15" thickBot="1" x14ac:dyDescent="0.4"/>
    <row r="3" spans="1:8" ht="15" thickBot="1" x14ac:dyDescent="0.4">
      <c r="A3" s="67" t="s">
        <v>105</v>
      </c>
      <c r="B3" s="68"/>
      <c r="C3" s="69"/>
    </row>
    <row r="4" spans="1:8" ht="14.5" customHeight="1" x14ac:dyDescent="0.35">
      <c r="A4" s="62" t="s">
        <v>106</v>
      </c>
      <c r="B4" s="62"/>
      <c r="C4" s="62"/>
      <c r="D4" s="62"/>
      <c r="E4" s="62"/>
      <c r="F4" s="62"/>
      <c r="G4" s="62"/>
      <c r="H4" s="62"/>
    </row>
    <row r="5" spans="1:8" x14ac:dyDescent="0.35">
      <c r="A5" s="62"/>
      <c r="B5" s="62"/>
      <c r="C5" s="62"/>
      <c r="D5" s="62"/>
      <c r="E5" s="62"/>
      <c r="F5" s="62"/>
      <c r="G5" s="62"/>
      <c r="H5" s="62"/>
    </row>
    <row r="6" spans="1:8" x14ac:dyDescent="0.35">
      <c r="A6" s="62"/>
      <c r="B6" s="62"/>
      <c r="C6" s="62"/>
      <c r="D6" s="62"/>
      <c r="E6" s="62"/>
      <c r="F6" s="62"/>
      <c r="G6" s="62"/>
      <c r="H6" s="62"/>
    </row>
    <row r="7" spans="1:8" x14ac:dyDescent="0.35">
      <c r="A7" s="62"/>
      <c r="B7" s="62"/>
      <c r="C7" s="62"/>
      <c r="D7" s="62"/>
      <c r="E7" s="62"/>
      <c r="F7" s="62"/>
      <c r="G7" s="62"/>
      <c r="H7" s="62"/>
    </row>
    <row r="8" spans="1:8" x14ac:dyDescent="0.35">
      <c r="A8" s="62"/>
      <c r="B8" s="62"/>
      <c r="C8" s="62"/>
      <c r="D8" s="62"/>
      <c r="E8" s="62"/>
      <c r="F8" s="62"/>
      <c r="G8" s="62"/>
      <c r="H8" s="62"/>
    </row>
    <row r="9" spans="1:8" x14ac:dyDescent="0.35">
      <c r="A9" s="62"/>
      <c r="B9" s="62"/>
      <c r="C9" s="62"/>
      <c r="D9" s="62"/>
      <c r="E9" s="62"/>
      <c r="F9" s="62"/>
      <c r="G9" s="62"/>
      <c r="H9" s="62"/>
    </row>
    <row r="10" spans="1:8" x14ac:dyDescent="0.35">
      <c r="A10" s="62"/>
      <c r="B10" s="62"/>
      <c r="C10" s="62"/>
      <c r="D10" s="62"/>
      <c r="E10" s="62"/>
      <c r="F10" s="62"/>
      <c r="G10" s="62"/>
      <c r="H10" s="62"/>
    </row>
    <row r="11" spans="1:8" x14ac:dyDescent="0.35">
      <c r="A11" s="62"/>
      <c r="B11" s="62"/>
      <c r="C11" s="62"/>
      <c r="D11" s="62"/>
      <c r="E11" s="62"/>
      <c r="F11" s="62"/>
      <c r="G11" s="62"/>
      <c r="H11" s="62"/>
    </row>
    <row r="12" spans="1:8" x14ac:dyDescent="0.35">
      <c r="A12" s="62"/>
      <c r="B12" s="62"/>
      <c r="C12" s="62"/>
      <c r="D12" s="62"/>
      <c r="E12" s="62"/>
      <c r="F12" s="62"/>
      <c r="G12" s="62"/>
      <c r="H12" s="62"/>
    </row>
    <row r="13" spans="1:8" x14ac:dyDescent="0.35">
      <c r="A13" s="62"/>
      <c r="B13" s="62"/>
      <c r="C13" s="62"/>
      <c r="D13" s="62"/>
      <c r="E13" s="62"/>
      <c r="F13" s="62"/>
      <c r="G13" s="62"/>
      <c r="H13" s="62"/>
    </row>
    <row r="14" spans="1:8" x14ac:dyDescent="0.35">
      <c r="A14" s="62"/>
      <c r="B14" s="62"/>
      <c r="C14" s="62"/>
      <c r="D14" s="62"/>
      <c r="E14" s="62"/>
      <c r="F14" s="62"/>
      <c r="G14" s="62"/>
      <c r="H14" s="62"/>
    </row>
    <row r="15" spans="1:8" ht="15" thickBot="1" x14ac:dyDescent="0.4">
      <c r="A15" s="62"/>
      <c r="B15" s="62"/>
      <c r="C15" s="62"/>
      <c r="D15" s="62"/>
      <c r="E15" s="62"/>
      <c r="F15" s="62"/>
      <c r="G15" s="62"/>
      <c r="H15" s="62"/>
    </row>
    <row r="16" spans="1:8" ht="15" thickBot="1" x14ac:dyDescent="0.4">
      <c r="A16" s="67" t="s">
        <v>107</v>
      </c>
      <c r="B16" s="68"/>
      <c r="C16" s="68"/>
      <c r="D16" s="69"/>
    </row>
    <row r="17" spans="1:8" ht="14.5" customHeight="1" x14ac:dyDescent="0.35">
      <c r="A17" s="60" t="s">
        <v>108</v>
      </c>
      <c r="B17" s="60"/>
      <c r="C17" s="60"/>
      <c r="D17" s="60"/>
      <c r="E17" s="60"/>
      <c r="F17" s="60"/>
      <c r="G17" s="60"/>
      <c r="H17" s="60"/>
    </row>
    <row r="18" spans="1:8" x14ac:dyDescent="0.35">
      <c r="A18" s="60"/>
      <c r="B18" s="60"/>
      <c r="C18" s="60"/>
      <c r="D18" s="60"/>
      <c r="E18" s="60"/>
      <c r="F18" s="60"/>
      <c r="G18" s="60"/>
      <c r="H18" s="60"/>
    </row>
    <row r="19" spans="1:8" x14ac:dyDescent="0.35">
      <c r="A19" s="60"/>
      <c r="B19" s="60"/>
      <c r="C19" s="60"/>
      <c r="D19" s="60"/>
      <c r="E19" s="60"/>
      <c r="F19" s="60"/>
      <c r="G19" s="60"/>
      <c r="H19" s="60"/>
    </row>
    <row r="20" spans="1:8" x14ac:dyDescent="0.35">
      <c r="A20" s="60"/>
      <c r="B20" s="60"/>
      <c r="C20" s="60"/>
      <c r="D20" s="60"/>
      <c r="E20" s="60"/>
      <c r="F20" s="60"/>
      <c r="G20" s="60"/>
      <c r="H20" s="60"/>
    </row>
    <row r="21" spans="1:8" x14ac:dyDescent="0.35">
      <c r="A21" s="60"/>
      <c r="B21" s="60"/>
      <c r="C21" s="60"/>
      <c r="D21" s="60"/>
      <c r="E21" s="60"/>
      <c r="F21" s="60"/>
      <c r="G21" s="60"/>
      <c r="H21" s="60"/>
    </row>
    <row r="22" spans="1:8" x14ac:dyDescent="0.35">
      <c r="A22" s="60"/>
      <c r="B22" s="60"/>
      <c r="C22" s="60"/>
      <c r="D22" s="60"/>
      <c r="E22" s="60"/>
      <c r="F22" s="60"/>
      <c r="G22" s="60"/>
      <c r="H22" s="60"/>
    </row>
    <row r="23" spans="1:8" x14ac:dyDescent="0.35">
      <c r="A23" s="60"/>
      <c r="B23" s="60"/>
      <c r="C23" s="60"/>
      <c r="D23" s="60"/>
      <c r="E23" s="60"/>
      <c r="F23" s="60"/>
      <c r="G23" s="60"/>
      <c r="H23" s="60"/>
    </row>
    <row r="24" spans="1:8" x14ac:dyDescent="0.35">
      <c r="A24" s="60"/>
      <c r="B24" s="60"/>
      <c r="C24" s="60"/>
      <c r="D24" s="60"/>
      <c r="E24" s="60"/>
      <c r="F24" s="60"/>
      <c r="G24" s="60"/>
      <c r="H24" s="60"/>
    </row>
    <row r="25" spans="1:8" x14ac:dyDescent="0.35">
      <c r="A25" s="60"/>
      <c r="B25" s="60"/>
      <c r="C25" s="60"/>
      <c r="D25" s="60"/>
      <c r="E25" s="60"/>
      <c r="F25" s="60"/>
      <c r="G25" s="60"/>
      <c r="H25" s="60"/>
    </row>
    <row r="26" spans="1:8" x14ac:dyDescent="0.35">
      <c r="A26" s="60"/>
      <c r="B26" s="60"/>
      <c r="C26" s="60"/>
      <c r="D26" s="60"/>
      <c r="E26" s="60"/>
      <c r="F26" s="60"/>
      <c r="G26" s="60"/>
      <c r="H26" s="60"/>
    </row>
    <row r="27" spans="1:8" x14ac:dyDescent="0.35">
      <c r="A27" s="60"/>
      <c r="B27" s="60"/>
      <c r="C27" s="60"/>
      <c r="D27" s="60"/>
      <c r="E27" s="60"/>
      <c r="F27" s="60"/>
      <c r="G27" s="60"/>
      <c r="H27" s="60"/>
    </row>
    <row r="28" spans="1:8" x14ac:dyDescent="0.35">
      <c r="A28" s="60"/>
      <c r="B28" s="60"/>
      <c r="C28" s="60"/>
      <c r="D28" s="60"/>
      <c r="E28" s="60"/>
      <c r="F28" s="60"/>
      <c r="G28" s="60"/>
      <c r="H28" s="60"/>
    </row>
    <row r="29" spans="1:8" x14ac:dyDescent="0.35">
      <c r="A29" s="60"/>
      <c r="B29" s="60"/>
      <c r="C29" s="60"/>
      <c r="D29" s="60"/>
      <c r="E29" s="60"/>
      <c r="F29" s="60"/>
      <c r="G29" s="60"/>
      <c r="H29" s="60"/>
    </row>
    <row r="30" spans="1:8" x14ac:dyDescent="0.35">
      <c r="A30" s="60"/>
      <c r="B30" s="60"/>
      <c r="C30" s="60"/>
      <c r="D30" s="60"/>
      <c r="E30" s="60"/>
      <c r="F30" s="60"/>
      <c r="G30" s="60"/>
      <c r="H30" s="60"/>
    </row>
    <row r="31" spans="1:8" ht="15" thickBot="1" x14ac:dyDescent="0.4"/>
    <row r="32" spans="1:8" ht="15" thickBot="1" x14ac:dyDescent="0.4">
      <c r="A32" s="64" t="s">
        <v>109</v>
      </c>
      <c r="B32" s="65"/>
      <c r="C32" s="66"/>
    </row>
    <row r="34" spans="1:8" ht="14.5" customHeight="1" x14ac:dyDescent="0.35">
      <c r="A34" s="61" t="s">
        <v>110</v>
      </c>
      <c r="B34" s="61"/>
      <c r="C34" s="61"/>
      <c r="D34" s="61"/>
      <c r="E34" s="61"/>
      <c r="F34" s="61"/>
      <c r="G34" s="61"/>
      <c r="H34" s="61"/>
    </row>
    <row r="35" spans="1:8" x14ac:dyDescent="0.35">
      <c r="A35" s="61"/>
      <c r="B35" s="61"/>
      <c r="C35" s="61"/>
      <c r="D35" s="61"/>
      <c r="E35" s="61"/>
      <c r="F35" s="61"/>
      <c r="G35" s="61"/>
      <c r="H35" s="61"/>
    </row>
    <row r="36" spans="1:8" x14ac:dyDescent="0.35">
      <c r="A36" s="61"/>
      <c r="B36" s="61"/>
      <c r="C36" s="61"/>
      <c r="D36" s="61"/>
      <c r="E36" s="61"/>
      <c r="F36" s="61"/>
      <c r="G36" s="61"/>
      <c r="H36" s="61"/>
    </row>
    <row r="37" spans="1:8" x14ac:dyDescent="0.35">
      <c r="A37" s="61"/>
      <c r="B37" s="61"/>
      <c r="C37" s="61"/>
      <c r="D37" s="61"/>
      <c r="E37" s="61"/>
      <c r="F37" s="61"/>
      <c r="G37" s="61"/>
      <c r="H37" s="61"/>
    </row>
    <row r="38" spans="1:8" x14ac:dyDescent="0.35">
      <c r="A38" s="61"/>
      <c r="B38" s="61"/>
      <c r="C38" s="61"/>
      <c r="D38" s="61"/>
      <c r="E38" s="61"/>
      <c r="F38" s="61"/>
      <c r="G38" s="61"/>
      <c r="H38" s="61"/>
    </row>
    <row r="39" spans="1:8" x14ac:dyDescent="0.35">
      <c r="A39" s="61"/>
      <c r="B39" s="61"/>
      <c r="C39" s="61"/>
      <c r="D39" s="61"/>
      <c r="E39" s="61"/>
      <c r="F39" s="61"/>
      <c r="G39" s="61"/>
      <c r="H39" s="61"/>
    </row>
    <row r="40" spans="1:8" x14ac:dyDescent="0.35">
      <c r="A40" s="61"/>
      <c r="B40" s="61"/>
      <c r="C40" s="61"/>
      <c r="D40" s="61"/>
      <c r="E40" s="61"/>
      <c r="F40" s="61"/>
      <c r="G40" s="61"/>
      <c r="H40" s="61"/>
    </row>
    <row r="41" spans="1:8" x14ac:dyDescent="0.35">
      <c r="A41" s="61"/>
      <c r="B41" s="61"/>
      <c r="C41" s="61"/>
      <c r="D41" s="61"/>
      <c r="E41" s="61"/>
      <c r="F41" s="61"/>
      <c r="G41" s="61"/>
      <c r="H41" s="61"/>
    </row>
    <row r="42" spans="1:8" x14ac:dyDescent="0.35">
      <c r="A42" s="61"/>
      <c r="B42" s="61"/>
      <c r="C42" s="61"/>
      <c r="D42" s="61"/>
      <c r="E42" s="61"/>
      <c r="F42" s="61"/>
      <c r="G42" s="61"/>
      <c r="H42" s="61"/>
    </row>
    <row r="43" spans="1:8" x14ac:dyDescent="0.35">
      <c r="A43" s="61"/>
      <c r="B43" s="61"/>
      <c r="C43" s="61"/>
      <c r="D43" s="61"/>
      <c r="E43" s="61"/>
      <c r="F43" s="61"/>
      <c r="G43" s="61"/>
      <c r="H43" s="61"/>
    </row>
    <row r="44" spans="1:8" x14ac:dyDescent="0.35">
      <c r="A44" s="61"/>
      <c r="B44" s="61"/>
      <c r="C44" s="61"/>
      <c r="D44" s="61"/>
      <c r="E44" s="61"/>
      <c r="F44" s="61"/>
      <c r="G44" s="61"/>
      <c r="H44" s="61"/>
    </row>
    <row r="45" spans="1:8" x14ac:dyDescent="0.35">
      <c r="A45" s="61"/>
      <c r="B45" s="61"/>
      <c r="C45" s="61"/>
      <c r="D45" s="61"/>
      <c r="E45" s="61"/>
      <c r="F45" s="61"/>
      <c r="G45" s="61"/>
      <c r="H45" s="61"/>
    </row>
    <row r="46" spans="1:8" x14ac:dyDescent="0.35">
      <c r="A46" s="61"/>
      <c r="B46" s="61"/>
      <c r="C46" s="61"/>
      <c r="D46" s="61"/>
      <c r="E46" s="61"/>
      <c r="F46" s="61"/>
      <c r="G46" s="61"/>
      <c r="H46" s="61"/>
    </row>
    <row r="47" spans="1:8" x14ac:dyDescent="0.35">
      <c r="A47" s="61"/>
      <c r="B47" s="61"/>
      <c r="C47" s="61"/>
      <c r="D47" s="61"/>
      <c r="E47" s="61"/>
      <c r="F47" s="61"/>
      <c r="G47" s="61"/>
      <c r="H47" s="61"/>
    </row>
    <row r="48" spans="1:8" x14ac:dyDescent="0.35">
      <c r="A48" s="61"/>
      <c r="B48" s="61"/>
      <c r="C48" s="61"/>
      <c r="D48" s="61"/>
      <c r="E48" s="61"/>
      <c r="F48" s="61"/>
      <c r="G48" s="61"/>
      <c r="H48" s="61"/>
    </row>
    <row r="49" spans="1:8" x14ac:dyDescent="0.35">
      <c r="A49" s="61"/>
      <c r="B49" s="61"/>
      <c r="C49" s="61"/>
      <c r="D49" s="61"/>
      <c r="E49" s="61"/>
      <c r="F49" s="61"/>
      <c r="G49" s="61"/>
      <c r="H49" s="61"/>
    </row>
    <row r="50" spans="1:8" x14ac:dyDescent="0.35">
      <c r="A50" s="61"/>
      <c r="B50" s="61"/>
      <c r="C50" s="61"/>
      <c r="D50" s="61"/>
      <c r="E50" s="61"/>
      <c r="F50" s="61"/>
      <c r="G50" s="61"/>
      <c r="H50" s="61"/>
    </row>
    <row r="51" spans="1:8" x14ac:dyDescent="0.35">
      <c r="A51" s="61"/>
      <c r="B51" s="61"/>
      <c r="C51" s="61"/>
      <c r="D51" s="61"/>
      <c r="E51" s="61"/>
      <c r="F51" s="61"/>
      <c r="G51" s="61"/>
      <c r="H51" s="61"/>
    </row>
    <row r="52" spans="1:8" ht="15" thickBot="1" x14ac:dyDescent="0.4"/>
    <row r="53" spans="1:8" ht="15" thickBot="1" x14ac:dyDescent="0.4">
      <c r="A53" s="67" t="s">
        <v>111</v>
      </c>
      <c r="B53" s="68"/>
      <c r="C53" s="68"/>
      <c r="D53" s="68"/>
      <c r="E53" s="69"/>
    </row>
    <row r="54" spans="1:8" x14ac:dyDescent="0.35">
      <c r="A54" s="74"/>
      <c r="B54" s="74"/>
      <c r="C54" s="74"/>
      <c r="D54" s="74"/>
      <c r="E54" s="74"/>
    </row>
    <row r="55" spans="1:8" x14ac:dyDescent="0.35">
      <c r="A55" s="60" t="s">
        <v>112</v>
      </c>
      <c r="B55" s="60"/>
      <c r="C55" s="60"/>
      <c r="D55" s="60"/>
      <c r="E55" s="60"/>
      <c r="F55" s="60"/>
      <c r="G55" s="60"/>
      <c r="H55" s="60"/>
    </row>
    <row r="56" spans="1:8" x14ac:dyDescent="0.35">
      <c r="A56" s="60"/>
      <c r="B56" s="60"/>
      <c r="C56" s="60"/>
      <c r="D56" s="60"/>
      <c r="E56" s="60"/>
      <c r="F56" s="60"/>
      <c r="G56" s="60"/>
      <c r="H56" s="60"/>
    </row>
    <row r="57" spans="1:8" x14ac:dyDescent="0.35">
      <c r="A57" s="60"/>
      <c r="B57" s="60"/>
      <c r="C57" s="60"/>
      <c r="D57" s="60"/>
      <c r="E57" s="60"/>
      <c r="F57" s="60"/>
      <c r="G57" s="60"/>
      <c r="H57" s="60"/>
    </row>
    <row r="58" spans="1:8" x14ac:dyDescent="0.35">
      <c r="A58" s="60"/>
      <c r="B58" s="60"/>
      <c r="C58" s="60"/>
      <c r="D58" s="60"/>
      <c r="E58" s="60"/>
      <c r="F58" s="60"/>
      <c r="G58" s="60"/>
      <c r="H58" s="60"/>
    </row>
    <row r="59" spans="1:8" x14ac:dyDescent="0.35">
      <c r="A59" s="60"/>
      <c r="B59" s="60"/>
      <c r="C59" s="60"/>
      <c r="D59" s="60"/>
      <c r="E59" s="60"/>
      <c r="F59" s="60"/>
      <c r="G59" s="60"/>
      <c r="H59" s="60"/>
    </row>
    <row r="60" spans="1:8" x14ac:dyDescent="0.35">
      <c r="A60" s="60"/>
      <c r="B60" s="60"/>
      <c r="C60" s="60"/>
      <c r="D60" s="60"/>
      <c r="E60" s="60"/>
      <c r="F60" s="60"/>
      <c r="G60" s="60"/>
      <c r="H60" s="60"/>
    </row>
    <row r="61" spans="1:8" x14ac:dyDescent="0.35">
      <c r="A61" s="60"/>
      <c r="B61" s="60"/>
      <c r="C61" s="60"/>
      <c r="D61" s="60"/>
      <c r="E61" s="60"/>
      <c r="F61" s="60"/>
      <c r="G61" s="60"/>
      <c r="H61" s="60"/>
    </row>
    <row r="62" spans="1:8" x14ac:dyDescent="0.35">
      <c r="A62" s="60"/>
      <c r="B62" s="60"/>
      <c r="C62" s="60"/>
      <c r="D62" s="60"/>
      <c r="E62" s="60"/>
      <c r="F62" s="60"/>
      <c r="G62" s="60"/>
      <c r="H62" s="60"/>
    </row>
    <row r="63" spans="1:8" x14ac:dyDescent="0.35">
      <c r="A63" s="60"/>
      <c r="B63" s="60"/>
      <c r="C63" s="60"/>
      <c r="D63" s="60"/>
      <c r="E63" s="60"/>
      <c r="F63" s="60"/>
      <c r="G63" s="60"/>
      <c r="H63" s="60"/>
    </row>
    <row r="64" spans="1:8" x14ac:dyDescent="0.35">
      <c r="A64" s="60"/>
      <c r="B64" s="60"/>
      <c r="C64" s="60"/>
      <c r="D64" s="60"/>
      <c r="E64" s="60"/>
      <c r="F64" s="60"/>
      <c r="G64" s="60"/>
      <c r="H64" s="60"/>
    </row>
    <row r="65" spans="1:8" x14ac:dyDescent="0.35">
      <c r="A65" s="60"/>
      <c r="B65" s="60"/>
      <c r="C65" s="60"/>
      <c r="D65" s="60"/>
      <c r="E65" s="60"/>
      <c r="F65" s="60"/>
      <c r="G65" s="60"/>
      <c r="H65" s="60"/>
    </row>
    <row r="66" spans="1:8" x14ac:dyDescent="0.35">
      <c r="A66" s="60"/>
      <c r="B66" s="60"/>
      <c r="C66" s="60"/>
      <c r="D66" s="60"/>
      <c r="E66" s="60"/>
      <c r="F66" s="60"/>
      <c r="G66" s="60"/>
      <c r="H66" s="60"/>
    </row>
    <row r="67" spans="1:8" x14ac:dyDescent="0.35">
      <c r="A67" s="60"/>
      <c r="B67" s="60"/>
      <c r="C67" s="60"/>
      <c r="D67" s="60"/>
      <c r="E67" s="60"/>
      <c r="F67" s="60"/>
      <c r="G67" s="60"/>
      <c r="H67" s="60"/>
    </row>
    <row r="68" spans="1:8" ht="15" thickBot="1" x14ac:dyDescent="0.4"/>
    <row r="69" spans="1:8" ht="15" thickBot="1" x14ac:dyDescent="0.4">
      <c r="A69" s="67" t="s">
        <v>113</v>
      </c>
      <c r="B69" s="68"/>
      <c r="C69" s="69"/>
    </row>
    <row r="71" spans="1:8" ht="14.5" customHeight="1" x14ac:dyDescent="0.35">
      <c r="A71" s="62" t="s">
        <v>114</v>
      </c>
      <c r="B71" s="62"/>
      <c r="C71" s="62"/>
      <c r="D71" s="62"/>
      <c r="E71" s="62"/>
      <c r="F71" s="62"/>
      <c r="G71" s="62"/>
      <c r="H71" s="62"/>
    </row>
    <row r="72" spans="1:8" x14ac:dyDescent="0.35">
      <c r="A72" s="62"/>
      <c r="B72" s="62"/>
      <c r="C72" s="62"/>
      <c r="D72" s="62"/>
      <c r="E72" s="62"/>
      <c r="F72" s="62"/>
      <c r="G72" s="62"/>
      <c r="H72" s="62"/>
    </row>
    <row r="73" spans="1:8" x14ac:dyDescent="0.35">
      <c r="A73" s="62"/>
      <c r="B73" s="62"/>
      <c r="C73" s="62"/>
      <c r="D73" s="62"/>
      <c r="E73" s="62"/>
      <c r="F73" s="62"/>
      <c r="G73" s="62"/>
      <c r="H73" s="62"/>
    </row>
    <row r="74" spans="1:8" x14ac:dyDescent="0.35">
      <c r="A74" s="62"/>
      <c r="B74" s="62"/>
      <c r="C74" s="62"/>
      <c r="D74" s="62"/>
      <c r="E74" s="62"/>
      <c r="F74" s="62"/>
      <c r="G74" s="62"/>
      <c r="H74" s="62"/>
    </row>
    <row r="75" spans="1:8" x14ac:dyDescent="0.35">
      <c r="A75" s="62"/>
      <c r="B75" s="62"/>
      <c r="C75" s="62"/>
      <c r="D75" s="62"/>
      <c r="E75" s="62"/>
      <c r="F75" s="62"/>
      <c r="G75" s="62"/>
      <c r="H75" s="62"/>
    </row>
    <row r="76" spans="1:8" x14ac:dyDescent="0.35">
      <c r="A76" s="62"/>
      <c r="B76" s="62"/>
      <c r="C76" s="62"/>
      <c r="D76" s="62"/>
      <c r="E76" s="62"/>
      <c r="F76" s="62"/>
      <c r="G76" s="62"/>
      <c r="H76" s="62"/>
    </row>
    <row r="77" spans="1:8" x14ac:dyDescent="0.35">
      <c r="A77" s="62"/>
      <c r="B77" s="62"/>
      <c r="C77" s="62"/>
      <c r="D77" s="62"/>
      <c r="E77" s="62"/>
      <c r="F77" s="62"/>
      <c r="G77" s="62"/>
      <c r="H77" s="62"/>
    </row>
    <row r="78" spans="1:8" x14ac:dyDescent="0.35">
      <c r="A78" s="62"/>
      <c r="B78" s="62"/>
      <c r="C78" s="62"/>
      <c r="D78" s="62"/>
      <c r="E78" s="62"/>
      <c r="F78" s="62"/>
      <c r="G78" s="62"/>
      <c r="H78" s="62"/>
    </row>
    <row r="79" spans="1:8" x14ac:dyDescent="0.35">
      <c r="A79" s="62"/>
      <c r="B79" s="62"/>
      <c r="C79" s="62"/>
      <c r="D79" s="62"/>
      <c r="E79" s="62"/>
      <c r="F79" s="62"/>
      <c r="G79" s="62"/>
      <c r="H79" s="62"/>
    </row>
    <row r="80" spans="1:8" x14ac:dyDescent="0.35">
      <c r="A80" s="62"/>
      <c r="B80" s="62"/>
      <c r="C80" s="62"/>
      <c r="D80" s="62"/>
      <c r="E80" s="62"/>
      <c r="F80" s="62"/>
      <c r="G80" s="62"/>
      <c r="H80" s="62"/>
    </row>
    <row r="81" spans="1:8" x14ac:dyDescent="0.35">
      <c r="A81" s="62"/>
      <c r="B81" s="62"/>
      <c r="C81" s="62"/>
      <c r="D81" s="62"/>
      <c r="E81" s="62"/>
      <c r="F81" s="62"/>
      <c r="G81" s="62"/>
      <c r="H81" s="62"/>
    </row>
    <row r="82" spans="1:8" x14ac:dyDescent="0.35">
      <c r="A82" s="62"/>
      <c r="B82" s="62"/>
      <c r="C82" s="62"/>
      <c r="D82" s="62"/>
      <c r="E82" s="62"/>
      <c r="F82" s="62"/>
      <c r="G82" s="62"/>
      <c r="H82" s="62"/>
    </row>
    <row r="83" spans="1:8" x14ac:dyDescent="0.35">
      <c r="A83" s="62"/>
      <c r="B83" s="62"/>
      <c r="C83" s="62"/>
      <c r="D83" s="62"/>
      <c r="E83" s="62"/>
      <c r="F83" s="62"/>
      <c r="G83" s="62"/>
      <c r="H83" s="62"/>
    </row>
    <row r="84" spans="1:8" x14ac:dyDescent="0.35">
      <c r="A84" s="62"/>
      <c r="B84" s="62"/>
      <c r="C84" s="62"/>
      <c r="D84" s="62"/>
      <c r="E84" s="62"/>
      <c r="F84" s="62"/>
      <c r="G84" s="62"/>
      <c r="H84" s="62"/>
    </row>
    <row r="85" spans="1:8" x14ac:dyDescent="0.35">
      <c r="A85" s="62"/>
      <c r="B85" s="62"/>
      <c r="C85" s="62"/>
      <c r="D85" s="62"/>
      <c r="E85" s="62"/>
      <c r="F85" s="62"/>
      <c r="G85" s="62"/>
      <c r="H85" s="62"/>
    </row>
    <row r="86" spans="1:8" ht="15" thickBot="1" x14ac:dyDescent="0.4"/>
    <row r="87" spans="1:8" ht="15" thickBot="1" x14ac:dyDescent="0.4">
      <c r="A87" s="64" t="s">
        <v>115</v>
      </c>
      <c r="B87" s="65"/>
      <c r="C87" s="65"/>
      <c r="D87" s="65"/>
      <c r="E87" s="66"/>
    </row>
    <row r="88" spans="1:8" x14ac:dyDescent="0.35">
      <c r="A88" s="70"/>
      <c r="B88" s="70"/>
      <c r="C88" s="70"/>
      <c r="D88" s="70"/>
      <c r="E88" s="70"/>
    </row>
    <row r="89" spans="1:8" ht="14.5" customHeight="1" x14ac:dyDescent="0.35">
      <c r="A89" s="60" t="s">
        <v>116</v>
      </c>
      <c r="B89" s="60"/>
      <c r="C89" s="60"/>
      <c r="D89" s="60"/>
      <c r="E89" s="60"/>
      <c r="F89" s="60"/>
      <c r="G89" s="60"/>
      <c r="H89" s="60"/>
    </row>
    <row r="90" spans="1:8" x14ac:dyDescent="0.35">
      <c r="A90" s="60"/>
      <c r="B90" s="60"/>
      <c r="C90" s="60"/>
      <c r="D90" s="60"/>
      <c r="E90" s="60"/>
      <c r="F90" s="60"/>
      <c r="G90" s="60"/>
      <c r="H90" s="60"/>
    </row>
    <row r="91" spans="1:8" x14ac:dyDescent="0.35">
      <c r="A91" s="60"/>
      <c r="B91" s="60"/>
      <c r="C91" s="60"/>
      <c r="D91" s="60"/>
      <c r="E91" s="60"/>
      <c r="F91" s="60"/>
      <c r="G91" s="60"/>
      <c r="H91" s="60"/>
    </row>
    <row r="92" spans="1:8" x14ac:dyDescent="0.35">
      <c r="A92" s="60"/>
      <c r="B92" s="60"/>
      <c r="C92" s="60"/>
      <c r="D92" s="60"/>
      <c r="E92" s="60"/>
      <c r="F92" s="60"/>
      <c r="G92" s="60"/>
      <c r="H92" s="60"/>
    </row>
    <row r="93" spans="1:8" x14ac:dyDescent="0.35">
      <c r="A93" s="60"/>
      <c r="B93" s="60"/>
      <c r="C93" s="60"/>
      <c r="D93" s="60"/>
      <c r="E93" s="60"/>
      <c r="F93" s="60"/>
      <c r="G93" s="60"/>
      <c r="H93" s="60"/>
    </row>
    <row r="94" spans="1:8" x14ac:dyDescent="0.35">
      <c r="A94" s="60"/>
      <c r="B94" s="60"/>
      <c r="C94" s="60"/>
      <c r="D94" s="60"/>
      <c r="E94" s="60"/>
      <c r="F94" s="60"/>
      <c r="G94" s="60"/>
      <c r="H94" s="60"/>
    </row>
    <row r="95" spans="1:8" x14ac:dyDescent="0.35">
      <c r="A95" s="60"/>
      <c r="B95" s="60"/>
      <c r="C95" s="60"/>
      <c r="D95" s="60"/>
      <c r="E95" s="60"/>
      <c r="F95" s="60"/>
      <c r="G95" s="60"/>
      <c r="H95" s="60"/>
    </row>
    <row r="96" spans="1:8" x14ac:dyDescent="0.35">
      <c r="A96" s="60"/>
      <c r="B96" s="60"/>
      <c r="C96" s="60"/>
      <c r="D96" s="60"/>
      <c r="E96" s="60"/>
      <c r="F96" s="60"/>
      <c r="G96" s="60"/>
      <c r="H96" s="60"/>
    </row>
    <row r="97" spans="1:8" x14ac:dyDescent="0.35">
      <c r="A97" s="60"/>
      <c r="B97" s="60"/>
      <c r="C97" s="60"/>
      <c r="D97" s="60"/>
      <c r="E97" s="60"/>
      <c r="F97" s="60"/>
      <c r="G97" s="60"/>
      <c r="H97" s="60"/>
    </row>
    <row r="99" spans="1:8" x14ac:dyDescent="0.35">
      <c r="A99" s="60" t="s">
        <v>117</v>
      </c>
      <c r="B99" s="60"/>
      <c r="C99" s="60"/>
      <c r="D99" s="60"/>
      <c r="E99" s="60"/>
      <c r="F99" s="60"/>
      <c r="G99" s="60"/>
      <c r="H99" s="60"/>
    </row>
    <row r="100" spans="1:8" x14ac:dyDescent="0.35">
      <c r="A100" s="60"/>
      <c r="B100" s="60"/>
      <c r="C100" s="60"/>
      <c r="D100" s="60"/>
      <c r="E100" s="60"/>
      <c r="F100" s="60"/>
      <c r="G100" s="60"/>
      <c r="H100" s="60"/>
    </row>
    <row r="101" spans="1:8" x14ac:dyDescent="0.35">
      <c r="A101" s="60"/>
      <c r="B101" s="60"/>
      <c r="C101" s="60"/>
      <c r="D101" s="60"/>
      <c r="E101" s="60"/>
      <c r="F101" s="60"/>
      <c r="G101" s="60"/>
      <c r="H101" s="60"/>
    </row>
    <row r="102" spans="1:8" x14ac:dyDescent="0.35">
      <c r="A102" s="60"/>
      <c r="B102" s="60"/>
      <c r="C102" s="60"/>
      <c r="D102" s="60"/>
      <c r="E102" s="60"/>
      <c r="F102" s="60"/>
      <c r="G102" s="60"/>
      <c r="H102" s="60"/>
    </row>
    <row r="103" spans="1:8" x14ac:dyDescent="0.35">
      <c r="A103" s="60"/>
      <c r="B103" s="60"/>
      <c r="C103" s="60"/>
      <c r="D103" s="60"/>
      <c r="E103" s="60"/>
      <c r="F103" s="60"/>
      <c r="G103" s="60"/>
      <c r="H103" s="60"/>
    </row>
    <row r="104" spans="1:8" x14ac:dyDescent="0.35">
      <c r="A104" s="60"/>
      <c r="B104" s="60"/>
      <c r="C104" s="60"/>
      <c r="D104" s="60"/>
      <c r="E104" s="60"/>
      <c r="F104" s="60"/>
      <c r="G104" s="60"/>
      <c r="H104" s="60"/>
    </row>
    <row r="105" spans="1:8" x14ac:dyDescent="0.35">
      <c r="A105" s="60"/>
      <c r="B105" s="60"/>
      <c r="C105" s="60"/>
      <c r="D105" s="60"/>
      <c r="E105" s="60"/>
      <c r="F105" s="60"/>
      <c r="G105" s="60"/>
      <c r="H105" s="60"/>
    </row>
    <row r="107" spans="1:8" ht="14.5" customHeight="1" x14ac:dyDescent="0.35">
      <c r="A107" s="60" t="s">
        <v>118</v>
      </c>
      <c r="B107" s="60"/>
      <c r="C107" s="60"/>
      <c r="D107" s="60"/>
      <c r="E107" s="60"/>
      <c r="F107" s="60"/>
      <c r="G107" s="60"/>
      <c r="H107" s="60"/>
    </row>
    <row r="108" spans="1:8" x14ac:dyDescent="0.35">
      <c r="A108" s="60"/>
      <c r="B108" s="60"/>
      <c r="C108" s="60"/>
      <c r="D108" s="60"/>
      <c r="E108" s="60"/>
      <c r="F108" s="60"/>
      <c r="G108" s="60"/>
      <c r="H108" s="60"/>
    </row>
    <row r="109" spans="1:8" x14ac:dyDescent="0.35">
      <c r="A109" s="60"/>
      <c r="B109" s="60"/>
      <c r="C109" s="60"/>
      <c r="D109" s="60"/>
      <c r="E109" s="60"/>
      <c r="F109" s="60"/>
      <c r="G109" s="60"/>
      <c r="H109" s="60"/>
    </row>
    <row r="110" spans="1:8" x14ac:dyDescent="0.35">
      <c r="A110" s="60"/>
      <c r="B110" s="60"/>
      <c r="C110" s="60"/>
      <c r="D110" s="60"/>
      <c r="E110" s="60"/>
      <c r="F110" s="60"/>
      <c r="G110" s="60"/>
      <c r="H110" s="60"/>
    </row>
    <row r="111" spans="1:8" x14ac:dyDescent="0.35">
      <c r="A111" s="60"/>
      <c r="B111" s="60"/>
      <c r="C111" s="60"/>
      <c r="D111" s="60"/>
      <c r="E111" s="60"/>
      <c r="F111" s="60"/>
      <c r="G111" s="60"/>
      <c r="H111" s="60"/>
    </row>
    <row r="112" spans="1:8" x14ac:dyDescent="0.35">
      <c r="A112" s="60"/>
      <c r="B112" s="60"/>
      <c r="C112" s="60"/>
      <c r="D112" s="60"/>
      <c r="E112" s="60"/>
      <c r="F112" s="60"/>
      <c r="G112" s="60"/>
      <c r="H112" s="60"/>
    </row>
    <row r="113" spans="1:8" x14ac:dyDescent="0.35">
      <c r="A113" s="60"/>
      <c r="B113" s="60"/>
      <c r="C113" s="60"/>
      <c r="D113" s="60"/>
      <c r="E113" s="60"/>
      <c r="F113" s="60"/>
      <c r="G113" s="60"/>
      <c r="H113" s="60"/>
    </row>
    <row r="114" spans="1:8" x14ac:dyDescent="0.35">
      <c r="A114" s="60"/>
      <c r="B114" s="60"/>
      <c r="C114" s="60"/>
      <c r="D114" s="60"/>
      <c r="E114" s="60"/>
      <c r="F114" s="60"/>
      <c r="G114" s="60"/>
      <c r="H114" s="60"/>
    </row>
    <row r="115" spans="1:8" x14ac:dyDescent="0.35">
      <c r="A115" s="59"/>
      <c r="B115" s="59"/>
      <c r="C115" s="59"/>
      <c r="D115" s="59"/>
      <c r="E115" s="59"/>
      <c r="F115" s="59"/>
      <c r="G115" s="59"/>
      <c r="H115" s="59"/>
    </row>
    <row r="116" spans="1:8" ht="15" thickBot="1" x14ac:dyDescent="0.4">
      <c r="A116" s="59"/>
      <c r="B116" s="59"/>
      <c r="C116" s="59"/>
      <c r="D116" s="59"/>
      <c r="E116" s="59"/>
      <c r="F116" s="59"/>
      <c r="G116" s="59"/>
      <c r="H116" s="59"/>
    </row>
    <row r="117" spans="1:8" ht="15" thickBot="1" x14ac:dyDescent="0.4">
      <c r="A117" s="67" t="s">
        <v>119</v>
      </c>
      <c r="B117" s="68"/>
      <c r="C117" s="69"/>
    </row>
    <row r="118" spans="1:8" ht="14.5" customHeight="1" x14ac:dyDescent="0.35">
      <c r="A118" s="62" t="s">
        <v>120</v>
      </c>
      <c r="B118" s="62"/>
      <c r="C118" s="62"/>
      <c r="D118" s="62"/>
      <c r="E118" s="62"/>
      <c r="F118" s="62"/>
      <c r="G118" s="62"/>
      <c r="H118" s="62"/>
    </row>
    <row r="119" spans="1:8" x14ac:dyDescent="0.35">
      <c r="A119" s="62"/>
      <c r="B119" s="62"/>
      <c r="C119" s="62"/>
      <c r="D119" s="62"/>
      <c r="E119" s="62"/>
      <c r="F119" s="62"/>
      <c r="G119" s="62"/>
      <c r="H119" s="62"/>
    </row>
    <row r="120" spans="1:8" x14ac:dyDescent="0.35">
      <c r="A120" s="62"/>
      <c r="B120" s="62"/>
      <c r="C120" s="62"/>
      <c r="D120" s="62"/>
      <c r="E120" s="62"/>
      <c r="F120" s="62"/>
      <c r="G120" s="62"/>
      <c r="H120" s="62"/>
    </row>
    <row r="121" spans="1:8" x14ac:dyDescent="0.35">
      <c r="A121" s="62"/>
      <c r="B121" s="62"/>
      <c r="C121" s="62"/>
      <c r="D121" s="62"/>
      <c r="E121" s="62"/>
      <c r="F121" s="62"/>
      <c r="G121" s="62"/>
      <c r="H121" s="62"/>
    </row>
    <row r="122" spans="1:8" x14ac:dyDescent="0.35">
      <c r="A122" s="62"/>
      <c r="B122" s="62"/>
      <c r="C122" s="62"/>
      <c r="D122" s="62"/>
      <c r="E122" s="62"/>
      <c r="F122" s="62"/>
      <c r="G122" s="62"/>
      <c r="H122" s="62"/>
    </row>
    <row r="123" spans="1:8" x14ac:dyDescent="0.35">
      <c r="A123" s="63"/>
      <c r="B123" s="63"/>
      <c r="C123" s="63"/>
      <c r="D123" s="63"/>
      <c r="E123" s="63"/>
      <c r="F123" s="63"/>
      <c r="G123" s="63"/>
      <c r="H123" s="63"/>
    </row>
    <row r="124" spans="1:8" x14ac:dyDescent="0.35">
      <c r="A124" s="62" t="s">
        <v>121</v>
      </c>
      <c r="B124" s="62"/>
      <c r="C124" s="62"/>
      <c r="D124" s="62"/>
      <c r="E124" s="62"/>
      <c r="F124" s="62"/>
      <c r="G124" s="62"/>
      <c r="H124" s="62"/>
    </row>
    <row r="125" spans="1:8" x14ac:dyDescent="0.35">
      <c r="A125" s="62"/>
      <c r="B125" s="62"/>
      <c r="C125" s="62"/>
      <c r="D125" s="62"/>
      <c r="E125" s="62"/>
      <c r="F125" s="62"/>
      <c r="G125" s="62"/>
      <c r="H125" s="62"/>
    </row>
    <row r="126" spans="1:8" x14ac:dyDescent="0.35">
      <c r="A126" s="62"/>
      <c r="B126" s="62"/>
      <c r="C126" s="62"/>
      <c r="D126" s="62"/>
      <c r="E126" s="62"/>
      <c r="F126" s="62"/>
      <c r="G126" s="62"/>
      <c r="H126" s="62"/>
    </row>
    <row r="127" spans="1:8" x14ac:dyDescent="0.35">
      <c r="A127" s="62"/>
      <c r="B127" s="62"/>
      <c r="C127" s="62"/>
      <c r="D127" s="62"/>
      <c r="E127" s="62"/>
      <c r="F127" s="62"/>
      <c r="G127" s="62"/>
      <c r="H127" s="62"/>
    </row>
    <row r="128" spans="1:8" x14ac:dyDescent="0.35">
      <c r="A128" s="62"/>
      <c r="B128" s="62"/>
      <c r="C128" s="62"/>
      <c r="D128" s="62"/>
      <c r="E128" s="62"/>
      <c r="F128" s="62"/>
      <c r="G128" s="62"/>
      <c r="H128" s="62"/>
    </row>
    <row r="129" spans="1:8" x14ac:dyDescent="0.35">
      <c r="A129" s="62"/>
      <c r="B129" s="62"/>
      <c r="C129" s="62"/>
      <c r="D129" s="62"/>
      <c r="E129" s="62"/>
      <c r="F129" s="62"/>
      <c r="G129" s="62"/>
      <c r="H129" s="62"/>
    </row>
    <row r="131" spans="1:8" x14ac:dyDescent="0.35">
      <c r="A131" s="62" t="s">
        <v>122</v>
      </c>
      <c r="B131" s="62"/>
      <c r="C131" s="62"/>
      <c r="D131" s="62"/>
      <c r="E131" s="62"/>
      <c r="F131" s="62"/>
      <c r="G131" s="62"/>
      <c r="H131" s="62"/>
    </row>
    <row r="132" spans="1:8" x14ac:dyDescent="0.35">
      <c r="A132" s="62"/>
      <c r="B132" s="62"/>
      <c r="C132" s="62"/>
      <c r="D132" s="62"/>
      <c r="E132" s="62"/>
      <c r="F132" s="62"/>
      <c r="G132" s="62"/>
      <c r="H132" s="62"/>
    </row>
    <row r="133" spans="1:8" x14ac:dyDescent="0.35">
      <c r="A133" s="62"/>
      <c r="B133" s="62"/>
      <c r="C133" s="62"/>
      <c r="D133" s="62"/>
      <c r="E133" s="62"/>
      <c r="F133" s="62"/>
      <c r="G133" s="62"/>
      <c r="H133" s="62"/>
    </row>
    <row r="134" spans="1:8" x14ac:dyDescent="0.35">
      <c r="A134" s="62"/>
      <c r="B134" s="62"/>
      <c r="C134" s="62"/>
      <c r="D134" s="62"/>
      <c r="E134" s="62"/>
      <c r="F134" s="62"/>
      <c r="G134" s="62"/>
      <c r="H134" s="62"/>
    </row>
    <row r="135" spans="1:8" x14ac:dyDescent="0.35">
      <c r="A135" s="62"/>
      <c r="B135" s="62"/>
      <c r="C135" s="62"/>
      <c r="D135" s="62"/>
      <c r="E135" s="62"/>
      <c r="F135" s="62"/>
      <c r="G135" s="62"/>
      <c r="H135" s="62"/>
    </row>
    <row r="136" spans="1:8" x14ac:dyDescent="0.35">
      <c r="A136" s="63"/>
      <c r="B136" s="63"/>
      <c r="C136" s="63"/>
      <c r="D136" s="63"/>
      <c r="E136" s="63"/>
      <c r="F136" s="63"/>
      <c r="G136" s="63"/>
      <c r="H136" s="63"/>
    </row>
    <row r="137" spans="1:8" x14ac:dyDescent="0.35">
      <c r="A137" s="60" t="s">
        <v>123</v>
      </c>
      <c r="B137" s="60"/>
      <c r="C137" s="60"/>
      <c r="D137" s="60"/>
      <c r="E137" s="60"/>
      <c r="F137" s="60"/>
      <c r="G137" s="60"/>
      <c r="H137" s="60"/>
    </row>
    <row r="138" spans="1:8" x14ac:dyDescent="0.35">
      <c r="A138" s="60"/>
      <c r="B138" s="60"/>
      <c r="C138" s="60"/>
      <c r="D138" s="60"/>
      <c r="E138" s="60"/>
      <c r="F138" s="60"/>
      <c r="G138" s="60"/>
      <c r="H138" s="60"/>
    </row>
    <row r="139" spans="1:8" x14ac:dyDescent="0.35">
      <c r="A139" s="60"/>
      <c r="B139" s="60"/>
      <c r="C139" s="60"/>
      <c r="D139" s="60"/>
      <c r="E139" s="60"/>
      <c r="F139" s="60"/>
      <c r="G139" s="60"/>
      <c r="H139" s="60"/>
    </row>
    <row r="140" spans="1:8" x14ac:dyDescent="0.35">
      <c r="A140" s="60"/>
      <c r="B140" s="60"/>
      <c r="C140" s="60"/>
      <c r="D140" s="60"/>
      <c r="E140" s="60"/>
      <c r="F140" s="60"/>
      <c r="G140" s="60"/>
      <c r="H140" s="60"/>
    </row>
    <row r="141" spans="1:8" x14ac:dyDescent="0.35">
      <c r="A141" s="60"/>
      <c r="B141" s="60"/>
      <c r="C141" s="60"/>
      <c r="D141" s="60"/>
      <c r="E141" s="60"/>
      <c r="F141" s="60"/>
      <c r="G141" s="60"/>
      <c r="H141" s="60"/>
    </row>
    <row r="143" spans="1:8" x14ac:dyDescent="0.35">
      <c r="A143" s="62" t="s">
        <v>124</v>
      </c>
      <c r="B143" s="62"/>
      <c r="C143" s="62"/>
      <c r="D143" s="62"/>
      <c r="E143" s="62"/>
      <c r="F143" s="62"/>
      <c r="G143" s="62"/>
      <c r="H143" s="62"/>
    </row>
    <row r="144" spans="1:8" x14ac:dyDescent="0.35">
      <c r="A144" s="62"/>
      <c r="B144" s="62"/>
      <c r="C144" s="62"/>
      <c r="D144" s="62"/>
      <c r="E144" s="62"/>
      <c r="F144" s="62"/>
      <c r="G144" s="62"/>
      <c r="H144" s="62"/>
    </row>
    <row r="145" spans="1:8" x14ac:dyDescent="0.35">
      <c r="A145" s="62"/>
      <c r="B145" s="62"/>
      <c r="C145" s="62"/>
      <c r="D145" s="62"/>
      <c r="E145" s="62"/>
      <c r="F145" s="62"/>
      <c r="G145" s="62"/>
      <c r="H145" s="62"/>
    </row>
    <row r="146" spans="1:8" x14ac:dyDescent="0.35">
      <c r="A146" s="62"/>
      <c r="B146" s="62"/>
      <c r="C146" s="62"/>
      <c r="D146" s="62"/>
      <c r="E146" s="62"/>
      <c r="F146" s="62"/>
      <c r="G146" s="62"/>
      <c r="H146" s="62"/>
    </row>
    <row r="147" spans="1:8" x14ac:dyDescent="0.35">
      <c r="A147" s="62"/>
      <c r="B147" s="62"/>
      <c r="C147" s="62"/>
      <c r="D147" s="62"/>
      <c r="E147" s="62"/>
      <c r="F147" s="62"/>
      <c r="G147" s="62"/>
      <c r="H147" s="62"/>
    </row>
    <row r="149" spans="1:8" x14ac:dyDescent="0.35">
      <c r="A149" s="60" t="s">
        <v>125</v>
      </c>
      <c r="B149" s="60"/>
      <c r="C149" s="60"/>
      <c r="D149" s="60"/>
      <c r="E149" s="60"/>
      <c r="F149" s="60"/>
      <c r="G149" s="60"/>
      <c r="H149" s="60"/>
    </row>
    <row r="150" spans="1:8" x14ac:dyDescent="0.35">
      <c r="A150" s="60"/>
      <c r="B150" s="60"/>
      <c r="C150" s="60"/>
      <c r="D150" s="60"/>
      <c r="E150" s="60"/>
      <c r="F150" s="60"/>
      <c r="G150" s="60"/>
      <c r="H150" s="60"/>
    </row>
    <row r="151" spans="1:8" x14ac:dyDescent="0.35">
      <c r="A151" s="60"/>
      <c r="B151" s="60"/>
      <c r="C151" s="60"/>
      <c r="D151" s="60"/>
      <c r="E151" s="60"/>
      <c r="F151" s="60"/>
      <c r="G151" s="60"/>
      <c r="H151" s="60"/>
    </row>
    <row r="152" spans="1:8" x14ac:dyDescent="0.35">
      <c r="A152" s="60"/>
      <c r="B152" s="60"/>
      <c r="C152" s="60"/>
      <c r="D152" s="60"/>
      <c r="E152" s="60"/>
      <c r="F152" s="60"/>
      <c r="G152" s="60"/>
      <c r="H152" s="60"/>
    </row>
    <row r="153" spans="1:8" x14ac:dyDescent="0.35">
      <c r="A153" s="60"/>
      <c r="B153" s="60"/>
      <c r="C153" s="60"/>
      <c r="D153" s="60"/>
      <c r="E153" s="60"/>
      <c r="F153" s="60"/>
      <c r="G153" s="60"/>
      <c r="H153" s="60"/>
    </row>
  </sheetData>
  <mergeCells count="23">
    <mergeCell ref="A71:H85"/>
    <mergeCell ref="A69:C69"/>
    <mergeCell ref="A55:H67"/>
    <mergeCell ref="A1:H1"/>
    <mergeCell ref="A34:H51"/>
    <mergeCell ref="A32:C32"/>
    <mergeCell ref="A89:H97"/>
    <mergeCell ref="A87:E87"/>
    <mergeCell ref="A117:C117"/>
    <mergeCell ref="A88:E88"/>
    <mergeCell ref="A16:D16"/>
    <mergeCell ref="A3:C3"/>
    <mergeCell ref="A53:E53"/>
    <mergeCell ref="A124:H129"/>
    <mergeCell ref="A131:H135"/>
    <mergeCell ref="A137:H141"/>
    <mergeCell ref="A143:H147"/>
    <mergeCell ref="A149:H153"/>
    <mergeCell ref="A107:H114"/>
    <mergeCell ref="A4:H15"/>
    <mergeCell ref="A17:H30"/>
    <mergeCell ref="A118:H122"/>
    <mergeCell ref="A99:H10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ACTUALS</vt:lpstr>
      <vt:lpstr>ASSUMPTIONS</vt:lpstr>
      <vt:lpstr>REVENUE</vt:lpstr>
      <vt:lpstr>P&amp;L</vt:lpstr>
      <vt:lpstr>INSIGHT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Dabi Njere</dc:creator>
  <cp:lastModifiedBy>Dabi Njere</cp:lastModifiedBy>
  <dcterms:created xsi:type="dcterms:W3CDTF">2026-07-10T00:49:26Z</dcterms:created>
  <dcterms:modified xsi:type="dcterms:W3CDTF">2026-07-13T07:50:31Z</dcterms:modified>
</cp:coreProperties>
</file>