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abir\Downloads\"/>
    </mc:Choice>
  </mc:AlternateContent>
  <xr:revisionPtr revIDLastSave="0" documentId="8_{A1A9CF04-3B39-4DAE-89DE-B877E627240E}" xr6:coauthVersionLast="47" xr6:coauthVersionMax="47" xr10:uidLastSave="{00000000-0000-0000-0000-000000000000}"/>
  <bookViews>
    <workbookView xWindow="-110" yWindow="-110" windowWidth="19420" windowHeight="11020" xr2:uid="{CBB9D6BA-26A8-43AD-87C6-14B8C393D8DD}"/>
  </bookViews>
  <sheets>
    <sheet name="ACTUALS" sheetId="7" r:id="rId1"/>
    <sheet name="ASSUMPTIONS" sheetId="2" r:id="rId2"/>
    <sheet name="STORE PLAN" sheetId="8" r:id="rId3"/>
    <sheet name="REVENUE" sheetId="3" r:id="rId4"/>
    <sheet name="Profit &amp; Loss" sheetId="5" r:id="rId5"/>
    <sheet name="SCENARIO" sheetId="6" r:id="rId6"/>
    <sheet name="INSIGHTS" sheetId="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0" i="6" l="1"/>
  <c r="D20" i="6"/>
  <c r="B20" i="6"/>
  <c r="B15" i="6"/>
  <c r="D26" i="6"/>
  <c r="D27" i="6" s="1"/>
  <c r="C26" i="6"/>
  <c r="C27" i="6" s="1"/>
  <c r="B26" i="6"/>
  <c r="B27" i="6" s="1"/>
  <c r="D23" i="6"/>
  <c r="C23" i="6"/>
  <c r="B23" i="6"/>
  <c r="E2" i="5"/>
  <c r="E2" i="3"/>
  <c r="E2" i="8"/>
  <c r="D31" i="2"/>
  <c r="B31" i="2"/>
  <c r="D35" i="5"/>
  <c r="E35" i="5"/>
  <c r="F35" i="5" s="1"/>
  <c r="C35" i="5"/>
  <c r="B35" i="5"/>
  <c r="C8" i="3"/>
  <c r="D8" i="3"/>
  <c r="E8" i="3"/>
  <c r="C9" i="3"/>
  <c r="D9" i="3"/>
  <c r="E9" i="3"/>
  <c r="E7" i="3"/>
  <c r="D7" i="3"/>
  <c r="C7" i="3"/>
  <c r="B8" i="3"/>
  <c r="B9" i="3"/>
  <c r="B7" i="3"/>
  <c r="D26" i="3"/>
  <c r="E26" i="3"/>
  <c r="C26" i="3"/>
  <c r="B26" i="3"/>
  <c r="G6" i="2"/>
  <c r="B70" i="2"/>
  <c r="B27" i="3"/>
  <c r="C8" i="2"/>
  <c r="B47" i="2" s="1"/>
  <c r="C9" i="2"/>
  <c r="B48" i="2" s="1"/>
  <c r="C7" i="2"/>
  <c r="B7" i="2" s="1"/>
  <c r="H7" i="7"/>
  <c r="H8" i="7"/>
  <c r="H6" i="7"/>
  <c r="F18" i="7"/>
  <c r="B69" i="2"/>
  <c r="C37" i="8"/>
  <c r="D37" i="8"/>
  <c r="B37" i="8"/>
  <c r="B13" i="7"/>
  <c r="B27" i="7" s="1"/>
  <c r="D34" i="2"/>
  <c r="D33" i="2"/>
  <c r="D32" i="2"/>
  <c r="C34" i="2"/>
  <c r="B67" i="2" s="1"/>
  <c r="C33" i="2"/>
  <c r="B66" i="2" s="1"/>
  <c r="C32" i="2"/>
  <c r="B65" i="2" s="1"/>
  <c r="B34" i="2"/>
  <c r="B33" i="2"/>
  <c r="B32" i="2"/>
  <c r="B64" i="2"/>
  <c r="B68" i="2"/>
  <c r="B63" i="2"/>
  <c r="B59" i="2"/>
  <c r="B60" i="2"/>
  <c r="B61" i="2"/>
  <c r="B62" i="2"/>
  <c r="B58" i="2"/>
  <c r="B55" i="2"/>
  <c r="B15" i="3" s="1"/>
  <c r="B56" i="2"/>
  <c r="D16" i="3" s="1"/>
  <c r="C29" i="8" s="1"/>
  <c r="B57" i="2"/>
  <c r="C17" i="3" s="1"/>
  <c r="B30" i="8" s="1"/>
  <c r="B54" i="2"/>
  <c r="B14" i="3" s="1"/>
  <c r="B51" i="2"/>
  <c r="B8" i="8" s="1"/>
  <c r="B52" i="2"/>
  <c r="B9" i="8" s="1"/>
  <c r="B53" i="2"/>
  <c r="B50" i="2"/>
  <c r="B7" i="8" s="1"/>
  <c r="B49" i="2"/>
  <c r="B45" i="2"/>
  <c r="F42" i="7"/>
  <c r="E42" i="7"/>
  <c r="D42" i="7"/>
  <c r="C42" i="7"/>
  <c r="B42" i="7"/>
  <c r="F41" i="7"/>
  <c r="E41" i="7"/>
  <c r="D41" i="7"/>
  <c r="C41" i="7"/>
  <c r="B41" i="7"/>
  <c r="F13" i="7"/>
  <c r="E13" i="7"/>
  <c r="E36" i="7" s="1"/>
  <c r="D13" i="7"/>
  <c r="D36" i="7" s="1"/>
  <c r="C13" i="7"/>
  <c r="C36" i="7" s="1"/>
  <c r="B9" i="7"/>
  <c r="C9" i="7"/>
  <c r="D9" i="7"/>
  <c r="E9" i="7"/>
  <c r="F9" i="7"/>
  <c r="C9" i="8" l="1"/>
  <c r="B15" i="8"/>
  <c r="B42" i="8" s="1"/>
  <c r="C8" i="8"/>
  <c r="D8" i="8" s="1"/>
  <c r="B10" i="8"/>
  <c r="B23" i="8" s="1"/>
  <c r="B16" i="3"/>
  <c r="C16" i="3"/>
  <c r="B29" i="8" s="1"/>
  <c r="C15" i="3"/>
  <c r="B28" i="8" s="1"/>
  <c r="E16" i="3"/>
  <c r="D29" i="8" s="1"/>
  <c r="B17" i="3"/>
  <c r="D17" i="3"/>
  <c r="C30" i="8" s="1"/>
  <c r="E17" i="3"/>
  <c r="D30" i="8" s="1"/>
  <c r="D9" i="8"/>
  <c r="E9" i="8" s="1"/>
  <c r="C15" i="8"/>
  <c r="D15" i="8" s="1"/>
  <c r="D42" i="8" s="1"/>
  <c r="E8" i="8"/>
  <c r="B19" i="8"/>
  <c r="C7" i="8"/>
  <c r="B13" i="8"/>
  <c r="B40" i="8" s="1"/>
  <c r="B14" i="8"/>
  <c r="C14" i="8" s="1"/>
  <c r="D14" i="8" s="1"/>
  <c r="D41" i="8" s="1"/>
  <c r="D15" i="3"/>
  <c r="C28" i="8" s="1"/>
  <c r="B10" i="3"/>
  <c r="D7" i="2"/>
  <c r="D9" i="2"/>
  <c r="B9" i="2"/>
  <c r="B8" i="2"/>
  <c r="D8" i="2"/>
  <c r="B46" i="2"/>
  <c r="F7" i="3"/>
  <c r="F9" i="3"/>
  <c r="H6" i="2"/>
  <c r="F8" i="3"/>
  <c r="B21" i="8"/>
  <c r="C21" i="8"/>
  <c r="D20" i="8"/>
  <c r="B20" i="8"/>
  <c r="B22" i="7"/>
  <c r="B23" i="7" s="1"/>
  <c r="F43" i="7"/>
  <c r="E18" i="7"/>
  <c r="C43" i="7"/>
  <c r="B43" i="7"/>
  <c r="E43" i="7"/>
  <c r="B36" i="7"/>
  <c r="C37" i="7" s="1"/>
  <c r="B40" i="7"/>
  <c r="C18" i="7"/>
  <c r="D43" i="7"/>
  <c r="F36" i="7"/>
  <c r="F37" i="7" s="1"/>
  <c r="B18" i="7"/>
  <c r="F40" i="7"/>
  <c r="F19" i="7"/>
  <c r="E40" i="7"/>
  <c r="D40" i="7"/>
  <c r="D18" i="7"/>
  <c r="C40" i="7"/>
  <c r="D14" i="7"/>
  <c r="C27" i="7"/>
  <c r="C22" i="7" s="1"/>
  <c r="C23" i="7" s="1"/>
  <c r="F10" i="7"/>
  <c r="E37" i="7"/>
  <c r="D37" i="7"/>
  <c r="F27" i="7"/>
  <c r="F22" i="7" s="1"/>
  <c r="F23" i="7" s="1"/>
  <c r="E27" i="7"/>
  <c r="E22" i="7" s="1"/>
  <c r="E23" i="7" s="1"/>
  <c r="C14" i="7"/>
  <c r="D27" i="7"/>
  <c r="D22" i="7" s="1"/>
  <c r="D23" i="7" s="1"/>
  <c r="F14" i="7"/>
  <c r="E14" i="7"/>
  <c r="E10" i="7"/>
  <c r="C10" i="7"/>
  <c r="D10" i="7"/>
  <c r="C20" i="8" l="1"/>
  <c r="E20" i="8" s="1"/>
  <c r="C14" i="3"/>
  <c r="B16" i="8"/>
  <c r="C18" i="3"/>
  <c r="D21" i="8"/>
  <c r="E21" i="8" s="1"/>
  <c r="C42" i="8"/>
  <c r="B18" i="3"/>
  <c r="B21" i="3" s="1"/>
  <c r="C10" i="8"/>
  <c r="D7" i="8"/>
  <c r="E7" i="8" s="1"/>
  <c r="B41" i="8"/>
  <c r="B43" i="8" s="1"/>
  <c r="C27" i="3" s="1"/>
  <c r="C13" i="8"/>
  <c r="C19" i="8"/>
  <c r="C22" i="8" s="1"/>
  <c r="C41" i="8"/>
  <c r="E10" i="3"/>
  <c r="D10" i="3"/>
  <c r="C10" i="3"/>
  <c r="I6" i="2"/>
  <c r="B22" i="8"/>
  <c r="B24" i="8" s="1"/>
  <c r="C19" i="7"/>
  <c r="D19" i="7"/>
  <c r="E19" i="7"/>
  <c r="B7" i="5" l="1"/>
  <c r="C15" i="6"/>
  <c r="D15" i="6"/>
  <c r="B27" i="8"/>
  <c r="B31" i="8" s="1"/>
  <c r="D13" i="8"/>
  <c r="D40" i="8" s="1"/>
  <c r="D43" i="8" s="1"/>
  <c r="E27" i="3" s="1"/>
  <c r="B24" i="5"/>
  <c r="B13" i="5"/>
  <c r="B15" i="5"/>
  <c r="B14" i="5"/>
  <c r="B12" i="5"/>
  <c r="B11" i="5"/>
  <c r="B25" i="5"/>
  <c r="B28" i="3"/>
  <c r="B37" i="5" s="1"/>
  <c r="B23" i="3"/>
  <c r="B24" i="3" s="1"/>
  <c r="B38" i="5" s="1"/>
  <c r="B39" i="5" s="1"/>
  <c r="D10" i="8"/>
  <c r="E10" i="8" s="1"/>
  <c r="D19" i="8"/>
  <c r="C40" i="8"/>
  <c r="C43" i="8" s="1"/>
  <c r="D27" i="3" s="1"/>
  <c r="E15" i="3"/>
  <c r="D28" i="8" s="1"/>
  <c r="D14" i="3"/>
  <c r="C23" i="8"/>
  <c r="C16" i="8"/>
  <c r="F11" i="3"/>
  <c r="C11" i="3"/>
  <c r="C21" i="3"/>
  <c r="C7" i="5" s="1"/>
  <c r="D11" i="3"/>
  <c r="E11" i="3"/>
  <c r="F10" i="3"/>
  <c r="C27" i="8" l="1"/>
  <c r="C31" i="8" s="1"/>
  <c r="B26" i="5"/>
  <c r="B27" i="5" s="1"/>
  <c r="D16" i="8"/>
  <c r="B16" i="5"/>
  <c r="C15" i="5"/>
  <c r="C13" i="5"/>
  <c r="C8" i="5"/>
  <c r="C24" i="5"/>
  <c r="C12" i="5"/>
  <c r="C11" i="5"/>
  <c r="C14" i="5"/>
  <c r="C25" i="5"/>
  <c r="D18" i="3"/>
  <c r="D21" i="3" s="1"/>
  <c r="D7" i="5" s="1"/>
  <c r="E19" i="8"/>
  <c r="E22" i="8" s="1"/>
  <c r="D22" i="8"/>
  <c r="E14" i="3"/>
  <c r="D23" i="8"/>
  <c r="E23" i="8" s="1"/>
  <c r="C24" i="8"/>
  <c r="C23" i="3"/>
  <c r="C24" i="3" s="1"/>
  <c r="C38" i="5" s="1"/>
  <c r="C39" i="5" s="1"/>
  <c r="C22" i="3"/>
  <c r="C28" i="3"/>
  <c r="C37" i="5" s="1"/>
  <c r="D22" i="3" l="1"/>
  <c r="D28" i="3"/>
  <c r="D37" i="5" s="1"/>
  <c r="C26" i="5"/>
  <c r="C27" i="5" s="1"/>
  <c r="B17" i="5"/>
  <c r="B20" i="5"/>
  <c r="C16" i="5"/>
  <c r="D27" i="8"/>
  <c r="D31" i="8" s="1"/>
  <c r="E18" i="3"/>
  <c r="D24" i="8"/>
  <c r="D8" i="5"/>
  <c r="D24" i="5"/>
  <c r="D15" i="5"/>
  <c r="D13" i="5"/>
  <c r="D14" i="5"/>
  <c r="D12" i="5"/>
  <c r="D11" i="5"/>
  <c r="D25" i="5"/>
  <c r="D23" i="3"/>
  <c r="D24" i="3" s="1"/>
  <c r="D38" i="5" s="1"/>
  <c r="D39" i="5" s="1"/>
  <c r="E24" i="8" l="1"/>
  <c r="E21" i="3"/>
  <c r="E7" i="5" s="1"/>
  <c r="B21" i="5"/>
  <c r="B30" i="5"/>
  <c r="D26" i="5"/>
  <c r="D27" i="5" s="1"/>
  <c r="D16" i="5"/>
  <c r="C20" i="5"/>
  <c r="C17" i="5"/>
  <c r="E23" i="3" l="1"/>
  <c r="E24" i="3" s="1"/>
  <c r="E38" i="5" s="1"/>
  <c r="F38" i="5" s="1"/>
  <c r="E28" i="3"/>
  <c r="E37" i="5" s="1"/>
  <c r="F37" i="5" s="1"/>
  <c r="E22" i="3"/>
  <c r="B31" i="5"/>
  <c r="B36" i="5"/>
  <c r="C21" i="5"/>
  <c r="C30" i="5"/>
  <c r="D20" i="5"/>
  <c r="D17" i="5"/>
  <c r="E14" i="5"/>
  <c r="F14" i="5" s="1"/>
  <c r="E24" i="5"/>
  <c r="F7" i="5"/>
  <c r="E15" i="5"/>
  <c r="F15" i="5" s="1"/>
  <c r="E13" i="5"/>
  <c r="F13" i="5" s="1"/>
  <c r="E11" i="5"/>
  <c r="E8" i="5"/>
  <c r="E12" i="5"/>
  <c r="F12" i="5" s="1"/>
  <c r="E25" i="5"/>
  <c r="F25" i="5" s="1"/>
  <c r="E39" i="5" l="1"/>
  <c r="F39" i="5" s="1"/>
  <c r="F24" i="5"/>
  <c r="E26" i="5"/>
  <c r="D21" i="5"/>
  <c r="D30" i="5"/>
  <c r="E16" i="5"/>
  <c r="F11" i="5"/>
  <c r="C31" i="5"/>
  <c r="C36" i="5"/>
  <c r="C32" i="5"/>
  <c r="E20" i="5" l="1"/>
  <c r="E17" i="5"/>
  <c r="F16" i="5"/>
  <c r="D36" i="5"/>
  <c r="D31" i="5"/>
  <c r="D32" i="5"/>
  <c r="F26" i="5"/>
  <c r="E27" i="5"/>
  <c r="F20" i="5" l="1"/>
  <c r="E21" i="5"/>
  <c r="E30" i="5"/>
  <c r="F30" i="5" l="1"/>
  <c r="E32" i="5"/>
  <c r="E36" i="5"/>
  <c r="F36" i="5" s="1"/>
  <c r="E31" i="5"/>
</calcChain>
</file>

<file path=xl/sharedStrings.xml><?xml version="1.0" encoding="utf-8"?>
<sst xmlns="http://schemas.openxmlformats.org/spreadsheetml/2006/main" count="327" uniqueCount="237">
  <si>
    <t>TJX CANADA — HISTORICAL PERFORMANCE ACTUALS (FY2021-FY2025)</t>
  </si>
  <si>
    <t>Metric</t>
  </si>
  <si>
    <t>FY2021</t>
  </si>
  <si>
    <t>FY2022</t>
  </si>
  <si>
    <t>FY2023</t>
  </si>
  <si>
    <t>FY2024</t>
  </si>
  <si>
    <t>FY2025</t>
  </si>
  <si>
    <t>Source</t>
  </si>
  <si>
    <t>STORE COUNT</t>
  </si>
  <si>
    <t>Winners Stores</t>
  </si>
  <si>
    <t>TJX 10-K</t>
  </si>
  <si>
    <t>HomeSense Stores</t>
  </si>
  <si>
    <t>Marshalls Stores</t>
  </si>
  <si>
    <t>Total Stores</t>
  </si>
  <si>
    <t>Formula</t>
  </si>
  <si>
    <t>Net New Stores</t>
  </si>
  <si>
    <t>-</t>
  </si>
  <si>
    <t>REVENUE</t>
  </si>
  <si>
    <t>YoY Revenue Growth %</t>
  </si>
  <si>
    <t>SSSG %</t>
  </si>
  <si>
    <t>TJX Earnings</t>
  </si>
  <si>
    <t>PROFITABILITY</t>
  </si>
  <si>
    <t>Segment Profit Margin %</t>
  </si>
  <si>
    <t>YoY OI Growth %</t>
  </si>
  <si>
    <t>STORE PRODUCTIVITY</t>
  </si>
  <si>
    <t>Revenue per Store Growth %</t>
  </si>
  <si>
    <t>GROSS MARGIN</t>
  </si>
  <si>
    <t>Gross Margin %</t>
  </si>
  <si>
    <t>OPERATING COSTS (% of Sales)</t>
  </si>
  <si>
    <t>Payroll %</t>
  </si>
  <si>
    <t>Industry Benchmark</t>
  </si>
  <si>
    <t>Occupancy %</t>
  </si>
  <si>
    <t>SG&amp;A %</t>
  </si>
  <si>
    <t>NEW STORE ECONOMICS</t>
  </si>
  <si>
    <t>Industry Est.</t>
  </si>
  <si>
    <t xml:space="preserve">Net Sales </t>
  </si>
  <si>
    <t xml:space="preserve">Operating Income </t>
  </si>
  <si>
    <t xml:space="preserve">Gross Profit </t>
  </si>
  <si>
    <t xml:space="preserve">Build-Out Cost per Store </t>
  </si>
  <si>
    <t xml:space="preserve">Inventory per Store </t>
  </si>
  <si>
    <t xml:space="preserve">Total Investment per Store </t>
  </si>
  <si>
    <t xml:space="preserve">Revenue per Store </t>
  </si>
  <si>
    <t>TJX CANADA — MODEL ASSUMPTIONS (BEAR / BASE / BULL)</t>
  </si>
  <si>
    <t>Assumption</t>
  </si>
  <si>
    <t>Bear</t>
  </si>
  <si>
    <t>Base</t>
  </si>
  <si>
    <t>Bull</t>
  </si>
  <si>
    <t>Derivation</t>
  </si>
  <si>
    <t>REVENUE ASSUMPTIONS</t>
  </si>
  <si>
    <t>Bear=below mgmt guidance / Base=historical avg FY23-25 / Bull=strong consumer recovery</t>
  </si>
  <si>
    <t>Base=FY2025 actual grown by SSSG / Bear and Bull adjusted accordingly</t>
  </si>
  <si>
    <t>Base=FY2025 actual grown by SSSG</t>
  </si>
  <si>
    <t>Annual Revenue per Store Growth %</t>
  </si>
  <si>
    <t>Driven by SSSG + price mix improvement</t>
  </si>
  <si>
    <t>STORE EXPANSION ASSUMPTIONS</t>
  </si>
  <si>
    <t>New Winners Stores per Year</t>
  </si>
  <si>
    <t>Base=TJX mgmt guidance / Bear=conservative / Bull=aggressive</t>
  </si>
  <si>
    <t>New HomeSense Stores per Year</t>
  </si>
  <si>
    <t>Base=TJX mgmt guidance</t>
  </si>
  <si>
    <t>New Marshalls Stores per Year</t>
  </si>
  <si>
    <t>Total New Stores per Year</t>
  </si>
  <si>
    <t>Bear=cautious expansion / Base=mgmt plan / Bull=accelerated</t>
  </si>
  <si>
    <t>Year 1 Ramp (% of mature revenue)</t>
  </si>
  <si>
    <t>Industry standard off-price retail ramp curve</t>
  </si>
  <si>
    <t>Year 2 Ramp (% of mature revenue)</t>
  </si>
  <si>
    <t>Approaching maturity</t>
  </si>
  <si>
    <t>Year 3 Ramp (% of mature revenue)</t>
  </si>
  <si>
    <t>Reaching full productivity</t>
  </si>
  <si>
    <t>Year 4+ Ramp (% of mature revenue)</t>
  </si>
  <si>
    <t>Fully mature store</t>
  </si>
  <si>
    <t>GROSS MARGIN ASSUMPTIONS</t>
  </si>
  <si>
    <t>Merchandise Margin %</t>
  </si>
  <si>
    <t>Bear=buying pressure / Base=FY2025 actual / Bull=improved buying conditions</t>
  </si>
  <si>
    <t>Shrink % of Sales</t>
  </si>
  <si>
    <t>Bear=theft rising / Base=FY2025 actual / Bull=better loss prevention</t>
  </si>
  <si>
    <t>Gross Margin % (Net)</t>
  </si>
  <si>
    <t>Net of merchandise margin shrink and freight</t>
  </si>
  <si>
    <t>Freight &amp; Distribution % of Sales</t>
  </si>
  <si>
    <t>Bear=higher freight / Base=current / Bull=optimized supply chain</t>
  </si>
  <si>
    <t>Buying &amp; Occupancy % of Sales</t>
  </si>
  <si>
    <t>Bear=higher rents / Base=FY2025 / Bull=renegotiated leases</t>
  </si>
  <si>
    <t>OPERATING COST ASSUMPTIONS</t>
  </si>
  <si>
    <t>Payroll % of Sales</t>
  </si>
  <si>
    <t>Bear=wage inflation / Base=FY2025 benchmark / Bull=productivity gains</t>
  </si>
  <si>
    <t>Bear=cost pressure / Base=FY2025 actual / Bull=scale efficiency</t>
  </si>
  <si>
    <t>Bear=construction inflation / Base=FY2025 actual / Bull=standardized build</t>
  </si>
  <si>
    <t>Bear=more working capital needed / Base=FY2025 / Bull=lean inventory</t>
  </si>
  <si>
    <t>Build-Out + Inventory combined</t>
  </si>
  <si>
    <t>Payback Period (years)</t>
  </si>
  <si>
    <t>Total Investment ÷ Annual Operating Income per store</t>
  </si>
  <si>
    <t>SCENARIO TOGGLE</t>
  </si>
  <si>
    <t>Active Scenario</t>
  </si>
  <si>
    <t>COST OF GOODS SOLD</t>
  </si>
  <si>
    <t>Cost of Sales</t>
  </si>
  <si>
    <t>Cost of Sales %</t>
  </si>
  <si>
    <t>FY2026F</t>
  </si>
  <si>
    <t>FY2027F</t>
  </si>
  <si>
    <t>FY2028F</t>
  </si>
  <si>
    <t>3-Year Total</t>
  </si>
  <si>
    <t>STORE OPENINGS BY BANNER</t>
  </si>
  <si>
    <t>New Winners Stores</t>
  </si>
  <si>
    <t>New HomeSense Stores</t>
  </si>
  <si>
    <t>New Marshalls Stores</t>
  </si>
  <si>
    <t>Total New Stores</t>
  </si>
  <si>
    <t>CUMULATIVE STORE COUNT</t>
  </si>
  <si>
    <t>Winners Total Stores</t>
  </si>
  <si>
    <t>HomeSense Total Stores</t>
  </si>
  <si>
    <t>Marshalls Total Stores</t>
  </si>
  <si>
    <t>CAPITAL INVESTMENT</t>
  </si>
  <si>
    <t>NEW STORE REVENUE RAMP</t>
  </si>
  <si>
    <t xml:space="preserve">Winners Build-Out Cost </t>
  </si>
  <si>
    <t xml:space="preserve">HomeSense Build-Out Cost </t>
  </si>
  <si>
    <t xml:space="preserve">Marshalls Build-Out Cost </t>
  </si>
  <si>
    <t xml:space="preserve">Total Build-Out Cost </t>
  </si>
  <si>
    <t xml:space="preserve">Total Inventory Investment </t>
  </si>
  <si>
    <t xml:space="preserve">TOTAL CAPITAL REQUIRED </t>
  </si>
  <si>
    <t>Revenue Growth Per Store</t>
  </si>
  <si>
    <t>FY 2026</t>
  </si>
  <si>
    <t>FY 2027</t>
  </si>
  <si>
    <t>FY 2028</t>
  </si>
  <si>
    <t>TOTAL NEW STORE REVENUE</t>
  </si>
  <si>
    <t>TJX CANADA — STORE EXPANSION PLAN &amp; CAPITAL INVESTMENT</t>
  </si>
  <si>
    <t>TJX CANADA — REVENUE FORECAST FY2026-FY2028 (BASE SCENARIO)</t>
  </si>
  <si>
    <t>Revenue Driver</t>
  </si>
  <si>
    <t>FY2025A</t>
  </si>
  <si>
    <t>3-Year Growth</t>
  </si>
  <si>
    <t>EXISTING STORE REVENUE</t>
  </si>
  <si>
    <t>YoY Existing Store Growth %</t>
  </si>
  <si>
    <t>NEW STORE REVENUE</t>
  </si>
  <si>
    <t>TOTAL REVENUE SUMMARY</t>
  </si>
  <si>
    <t>YoY Total Revenue Growth %</t>
  </si>
  <si>
    <t>Existing Store Contribution %</t>
  </si>
  <si>
    <t>New Store Contribution %</t>
  </si>
  <si>
    <t>Total Store Count</t>
  </si>
  <si>
    <t>Sales per Square Foot</t>
  </si>
  <si>
    <t xml:space="preserve">Winners — Existing Store Revenue </t>
  </si>
  <si>
    <t xml:space="preserve">HomeSense — Existing Store Revenue </t>
  </si>
  <si>
    <t xml:space="preserve">Marshalls — Existing Store Revenue </t>
  </si>
  <si>
    <t xml:space="preserve">Total Existing Store Revenue </t>
  </si>
  <si>
    <t xml:space="preserve">Total New Store Revenue </t>
  </si>
  <si>
    <t xml:space="preserve">Total Net Sales </t>
  </si>
  <si>
    <t xml:space="preserve">Winners Revenue per Store </t>
  </si>
  <si>
    <t xml:space="preserve">HomeSense Revenue per Store </t>
  </si>
  <si>
    <t xml:space="preserve">Marshalls Revenue per Store </t>
  </si>
  <si>
    <t xml:space="preserve">Build-Out Cost per New Store </t>
  </si>
  <si>
    <t xml:space="preserve">Inventory per New Store </t>
  </si>
  <si>
    <t xml:space="preserve">Total Investment per New Store </t>
  </si>
  <si>
    <t>Year 1 Revenue</t>
  </si>
  <si>
    <t>Year 2 Revenue</t>
  </si>
  <si>
    <t>Year 3 Revenue</t>
  </si>
  <si>
    <t>Year 4 Revenue</t>
  </si>
  <si>
    <t>STORE CLOSURES</t>
  </si>
  <si>
    <t>Winners Closures per Year</t>
  </si>
  <si>
    <t>HomeSense Closures per Year</t>
  </si>
  <si>
    <t>Marshalls Closures per Year</t>
  </si>
  <si>
    <t>Total Store Closures</t>
  </si>
  <si>
    <t>NET NEW STORES</t>
  </si>
  <si>
    <t>Annual Store Closure</t>
  </si>
  <si>
    <t>% 2025 of total count</t>
  </si>
  <si>
    <t>NET Total Stores</t>
  </si>
  <si>
    <t>Store Sqft</t>
  </si>
  <si>
    <t>Store sqft</t>
  </si>
  <si>
    <t xml:space="preserve"> Year 1 Revenue</t>
  </si>
  <si>
    <t xml:space="preserve"> Year 2 Revenue</t>
  </si>
  <si>
    <t xml:space="preserve"> Year 3 Revenue</t>
  </si>
  <si>
    <t xml:space="preserve"> Year 4 Revenue</t>
  </si>
  <si>
    <t>Memo: FY2025A reflects mature store base only.</t>
  </si>
  <si>
    <t>Ramping stores (FY2023-2025 cohorts) captured in New Store Revenue.</t>
  </si>
  <si>
    <t>Total reconciles to reported $4.96B net sales.</t>
  </si>
  <si>
    <t xml:space="preserve">Merchandise Cost </t>
  </si>
  <si>
    <t>TJX CANADA — FULL P&amp;L FORECAST FY2025A-FY2028F</t>
  </si>
  <si>
    <t>Line Item</t>
  </si>
  <si>
    <t>FY25-28 Change</t>
  </si>
  <si>
    <t>COST OF SALES</t>
  </si>
  <si>
    <t>Cost of Sales % of Net Sales</t>
  </si>
  <si>
    <t>GROSS PROFIT</t>
  </si>
  <si>
    <t>OPERATING EXPENSES</t>
  </si>
  <si>
    <t>SG&amp;A % of Net Sales</t>
  </si>
  <si>
    <t>OPERATING INCOME</t>
  </si>
  <si>
    <t>Operating Margin %</t>
  </si>
  <si>
    <t>YoY Operating Income Growth %</t>
  </si>
  <si>
    <t>KEY METRICS</t>
  </si>
  <si>
    <t>New Store Contribution to Revenue %</t>
  </si>
  <si>
    <t>Existing Store Contribution to Revenue %</t>
  </si>
  <si>
    <t xml:space="preserve">Shrink </t>
  </si>
  <si>
    <t xml:space="preserve">Freight &amp; Distribution </t>
  </si>
  <si>
    <t xml:space="preserve">Buying &amp; Occupancy </t>
  </si>
  <si>
    <t xml:space="preserve">Other COGS </t>
  </si>
  <si>
    <t xml:space="preserve">Total Cost of Sales </t>
  </si>
  <si>
    <t xml:space="preserve">Store Payroll &amp; Benefits </t>
  </si>
  <si>
    <t xml:space="preserve">General &amp; Administrative </t>
  </si>
  <si>
    <t xml:space="preserve">Total SG&amp;A </t>
  </si>
  <si>
    <t xml:space="preserve">Operating Income per Store </t>
  </si>
  <si>
    <t>Store Supplies &amp; Depreciation</t>
  </si>
  <si>
    <t>DC operating Costs</t>
  </si>
  <si>
    <t>Other COGS Total</t>
  </si>
  <si>
    <t>G&amp;A %</t>
  </si>
  <si>
    <t>TJX CANADA — SCENARIO ANALYSIS FY2028F (3-YEAR OUTLOOK)</t>
  </si>
  <si>
    <t>Bear Case</t>
  </si>
  <si>
    <t>Base Case</t>
  </si>
  <si>
    <t>Bull Case</t>
  </si>
  <si>
    <t>KEY ASSUMPTIONS</t>
  </si>
  <si>
    <t>New Stores per Year</t>
  </si>
  <si>
    <t>Total SG&amp;A % of Sales</t>
  </si>
  <si>
    <t>FY2028 FINANCIAL OUTCOMES</t>
  </si>
  <si>
    <t>YoY Revenue CAGR (3-year)</t>
  </si>
  <si>
    <t>Operating Income Growth vs FY2025</t>
  </si>
  <si>
    <t>New Store % of Total Revenue</t>
  </si>
  <si>
    <t>Return on New Store Investment %</t>
  </si>
  <si>
    <t xml:space="preserve">New Store Revenue Contribution </t>
  </si>
  <si>
    <t xml:space="preserve">Total Capital Invested </t>
  </si>
  <si>
    <t xml:space="preserve">Total New Stores Opened </t>
  </si>
  <si>
    <t>NEW STORE IMPACT FY2028 (3 years)</t>
  </si>
  <si>
    <t>1. Continue disciplined store expansion while maintaining strong return on invested capital.</t>
  </si>
  <si>
    <t>2. Prioritize Same Store Sales Growth through merchandising excellence and customer traffic initiatives.</t>
  </si>
  <si>
    <t>3. Closely monitor new store performance during the first years of operation to ensure productivity targets are achieved.</t>
  </si>
  <si>
    <t>4. Maintain tight control over SG&amp;A expenses to preserve operating leverage as revenue grows.</t>
  </si>
  <si>
    <t xml:space="preserve"> TJX CANADA — EXECUTIVE INSIGHT &amp; STORE EXPANSION RECOMMENDATION</t>
  </si>
  <si>
    <t xml:space="preserve"> Executive Summary</t>
  </si>
  <si>
    <t xml:space="preserve"> Revenue Insights</t>
  </si>
  <si>
    <t xml:space="preserve"> Store Expansion</t>
  </si>
  <si>
    <t xml:space="preserve"> Profitability Insights</t>
  </si>
  <si>
    <t xml:space="preserve"> Scenario Analysis</t>
  </si>
  <si>
    <t xml:space="preserve"> Bear Scenario</t>
  </si>
  <si>
    <t xml:space="preserve"> Base Scenario</t>
  </si>
  <si>
    <t xml:space="preserve"> Bull Scenario</t>
  </si>
  <si>
    <t xml:space="preserve"> Key Business Risks</t>
  </si>
  <si>
    <t xml:space="preserve"> Management Recommendations</t>
  </si>
  <si>
    <t>The Base Scenario projects continued profitable growth between FY2026 and FY2028, supported by disciplined store expansion, positive Same Store Sales Growth (SSSG), and stable operating margins. Revenue growth is driven primarily by the existing store network, while new store openings create additional longterm revenue capacity. The model demonstrates that maintaining controlled expansion and effective cost management will be the key drivers of sustainable profitability.</t>
  </si>
  <si>
    <t>5. Continue utilizing scenario planning to evaluate potential changes in consumer demand and support strategic decisionmaking.</t>
  </si>
  <si>
    <t>Revenue is projected to grow consistently throughout the forecast period under the Base Scenario.
Existing stores remain the largest contributor to total sales, highlighting the importance of maintaining positive Same Store Sales Growth (SSSG).
New store openings provide incremental revenue while strengthening TJX Canada's long-term market presence.
The store ramp-up methodology assumes new stores gradually reach mature sales productivity, creating a more realistic revenue forecast.</t>
  </si>
  <si>
    <t>The expansion plan supports sustainable long-term growth while maintaining disciplined capital allocation.
New stores increase future revenue capacity without placing excessive pressure on operating performance.
 A balanced expansion strategy across Winners, Marshalls, and HomeSense reduces concentration risk while supporting market penetration.
Gradual store expansion allows management to optimize staffing, inventory management, and operational efficiency.</t>
  </si>
  <si>
    <t>Gross Margin remains stable throughout the forecast period, reflecting the resilience of TJX Canada's off-price retail business model.
Operating Income increases as revenue growth outpaces the growth in operating expenses.
Operating Margin improves through operating leverage generated by higher sales volumes across the existing and expanding store base.
Disciplined SG&amp;A management remains critical to sustaining long-term profitability.</t>
  </si>
  <si>
    <t>Strong consumer spending and higher store productivity accelerate revenue growth.
Operating leverage results in stronger profitability and improved operating margins</t>
  </si>
  <si>
    <t>Lower consumer demand and weaker Same Store Sales Growth reduce revenue growth and compress operating margins.
Profitability remains positive, but expansion generates lower financial returns.</t>
  </si>
  <si>
    <t>Slower-than-expected Same Store Sales Growth.                                                                                       Inflationary pressure on payroll and occupancy costs.                                                                            Delays in new store productivity.                                                                                                           Changes in consumer discretionary spending.                                                                                            Supply chain disruptions affecting inventory availability.                                                            Increased competitive pressure within the Canadian retail market.</t>
  </si>
  <si>
    <t>Balanced revenue growth supported by stable consumer demand and disciplined store expansion.
Represents the most realistic planning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</si>
</sst>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43" formatCode="_-* #,##0.00_-;\-* #,##0.00_-;_-* &quot;-&quot;??_-;_-@_-"/>
    <numFmt numFmtId="164" formatCode="&quot;$&quot;#,##0.00"/>
    <numFmt numFmtId="165"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s>
  <fills count="13">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3" tint="0.89999084444715716"/>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style="thin">
        <color indexed="64"/>
      </left>
      <right/>
      <top style="medium">
        <color indexed="64"/>
      </top>
      <bottom style="medium">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82">
    <xf numFmtId="0" fontId="0" fillId="0" borderId="0" xfId="0"/>
    <xf numFmtId="10" fontId="0" fillId="0" borderId="0" xfId="0" applyNumberFormat="1"/>
    <xf numFmtId="0" fontId="2" fillId="3" borderId="6" xfId="0" applyFont="1" applyFill="1" applyBorder="1"/>
    <xf numFmtId="0" fontId="0" fillId="0" borderId="5" xfId="0" applyBorder="1"/>
    <xf numFmtId="10" fontId="0" fillId="0" borderId="5" xfId="0" applyNumberFormat="1" applyBorder="1"/>
    <xf numFmtId="0" fontId="2" fillId="3" borderId="5" xfId="0" applyFont="1" applyFill="1" applyBorder="1"/>
    <xf numFmtId="0" fontId="2" fillId="3" borderId="7" xfId="0" applyFont="1" applyFill="1" applyBorder="1"/>
    <xf numFmtId="0" fontId="2" fillId="3" borderId="8" xfId="0" applyFont="1" applyFill="1" applyBorder="1"/>
    <xf numFmtId="0" fontId="0" fillId="0" borderId="11" xfId="0" applyBorder="1"/>
    <xf numFmtId="0" fontId="0" fillId="0" borderId="12" xfId="0" applyBorder="1"/>
    <xf numFmtId="164" fontId="0" fillId="0" borderId="5" xfId="0" applyNumberFormat="1" applyBorder="1"/>
    <xf numFmtId="0" fontId="0" fillId="0" borderId="5" xfId="0" applyBorder="1" applyAlignment="1">
      <alignment horizontal="center"/>
    </xf>
    <xf numFmtId="9" fontId="0" fillId="0" borderId="5" xfId="1" applyFont="1" applyBorder="1"/>
    <xf numFmtId="164" fontId="0" fillId="0" borderId="5" xfId="0" applyNumberFormat="1" applyBorder="1" applyAlignment="1">
      <alignment horizontal="center"/>
    </xf>
    <xf numFmtId="0" fontId="2" fillId="3" borderId="5" xfId="0" applyFont="1" applyFill="1" applyBorder="1" applyAlignment="1">
      <alignment vertical="center" wrapText="1"/>
    </xf>
    <xf numFmtId="9" fontId="0" fillId="0" borderId="0" xfId="0" applyNumberFormat="1"/>
    <xf numFmtId="0" fontId="0" fillId="0" borderId="5" xfId="0" applyBorder="1" applyAlignment="1">
      <alignment horizontal="right"/>
    </xf>
    <xf numFmtId="9" fontId="0" fillId="0" borderId="5" xfId="0" applyNumberFormat="1" applyBorder="1"/>
    <xf numFmtId="10" fontId="0" fillId="0" borderId="5" xfId="0" applyNumberFormat="1" applyBorder="1" applyAlignment="1">
      <alignment horizontal="right"/>
    </xf>
    <xf numFmtId="0" fontId="2" fillId="3" borderId="5" xfId="0" applyFont="1" applyFill="1" applyBorder="1" applyAlignment="1">
      <alignment horizontal="center"/>
    </xf>
    <xf numFmtId="9" fontId="0" fillId="0" borderId="0" xfId="1" applyFont="1" applyBorder="1" applyAlignment="1">
      <alignment horizontal="right"/>
    </xf>
    <xf numFmtId="0" fontId="0" fillId="0" borderId="0" xfId="0" applyAlignment="1">
      <alignment horizontal="right"/>
    </xf>
    <xf numFmtId="0" fontId="0" fillId="0" borderId="5" xfId="1" applyNumberFormat="1" applyFont="1" applyFill="1" applyBorder="1" applyAlignment="1">
      <alignment horizontal="right"/>
    </xf>
    <xf numFmtId="0" fontId="2" fillId="3" borderId="13" xfId="0" applyFont="1" applyFill="1" applyBorder="1" applyAlignment="1">
      <alignment horizontal="center"/>
    </xf>
    <xf numFmtId="0" fontId="2" fillId="3" borderId="10" xfId="0" applyFont="1" applyFill="1" applyBorder="1"/>
    <xf numFmtId="0" fontId="2" fillId="0" borderId="1" xfId="0" applyFont="1" applyBorder="1"/>
    <xf numFmtId="0" fontId="0" fillId="0" borderId="0" xfId="0" applyAlignment="1">
      <alignment horizontal="center"/>
    </xf>
    <xf numFmtId="9" fontId="0" fillId="0" borderId="0" xfId="1" applyFont="1" applyBorder="1"/>
    <xf numFmtId="9" fontId="0" fillId="0" borderId="5" xfId="1" applyFont="1" applyBorder="1" applyAlignment="1">
      <alignment horizontal="center"/>
    </xf>
    <xf numFmtId="8" fontId="0" fillId="0" borderId="5" xfId="0" applyNumberFormat="1" applyBorder="1" applyAlignment="1">
      <alignment horizontal="right"/>
    </xf>
    <xf numFmtId="164" fontId="0" fillId="0" borderId="5" xfId="0" applyNumberFormat="1" applyBorder="1" applyAlignment="1">
      <alignment horizontal="right"/>
    </xf>
    <xf numFmtId="164" fontId="0" fillId="0" borderId="0" xfId="0" applyNumberFormat="1"/>
    <xf numFmtId="0" fontId="0" fillId="0" borderId="10" xfId="0" applyBorder="1"/>
    <xf numFmtId="0" fontId="2" fillId="0" borderId="0" xfId="0" applyFont="1"/>
    <xf numFmtId="0" fontId="0" fillId="0" borderId="7" xfId="0" applyBorder="1"/>
    <xf numFmtId="164" fontId="0" fillId="0" borderId="8" xfId="0" applyNumberFormat="1" applyBorder="1"/>
    <xf numFmtId="164" fontId="0" fillId="0" borderId="9" xfId="0" applyNumberFormat="1" applyBorder="1"/>
    <xf numFmtId="9" fontId="0" fillId="0" borderId="5" xfId="1" applyFont="1" applyFill="1" applyBorder="1"/>
    <xf numFmtId="0" fontId="2" fillId="3" borderId="14" xfId="0" applyFont="1" applyFill="1" applyBorder="1"/>
    <xf numFmtId="10" fontId="0" fillId="0" borderId="5" xfId="1" applyNumberFormat="1" applyFont="1" applyBorder="1"/>
    <xf numFmtId="8" fontId="0" fillId="0" borderId="0" xfId="0" applyNumberFormat="1"/>
    <xf numFmtId="8" fontId="0" fillId="0" borderId="10" xfId="0" applyNumberFormat="1" applyBorder="1"/>
    <xf numFmtId="43" fontId="0" fillId="0" borderId="0" xfId="2" applyFont="1" applyBorder="1" applyAlignment="1">
      <alignment horizontal="right"/>
    </xf>
    <xf numFmtId="43" fontId="0" fillId="0" borderId="5" xfId="2" applyFont="1" applyBorder="1" applyAlignment="1">
      <alignment horizontal="right"/>
    </xf>
    <xf numFmtId="8" fontId="0" fillId="0" borderId="5" xfId="0" applyNumberFormat="1" applyBorder="1" applyAlignment="1">
      <alignment horizontal="center"/>
    </xf>
    <xf numFmtId="164" fontId="0" fillId="3" borderId="5" xfId="0" applyNumberFormat="1" applyFill="1" applyBorder="1"/>
    <xf numFmtId="8" fontId="0" fillId="3" borderId="5" xfId="0" applyNumberFormat="1" applyFill="1" applyBorder="1" applyAlignment="1">
      <alignment horizontal="center"/>
    </xf>
    <xf numFmtId="164" fontId="0" fillId="4" borderId="5" xfId="0" applyNumberFormat="1" applyFill="1" applyBorder="1" applyAlignment="1">
      <alignment horizontal="right"/>
    </xf>
    <xf numFmtId="8" fontId="0" fillId="4" borderId="5" xfId="0" applyNumberFormat="1" applyFill="1" applyBorder="1" applyAlignment="1">
      <alignment horizontal="center"/>
    </xf>
    <xf numFmtId="164" fontId="0" fillId="5" borderId="5" xfId="0" applyNumberFormat="1" applyFill="1" applyBorder="1" applyAlignment="1">
      <alignment horizontal="right"/>
    </xf>
    <xf numFmtId="8" fontId="0" fillId="5" borderId="5" xfId="0" applyNumberFormat="1" applyFill="1" applyBorder="1" applyAlignment="1">
      <alignment horizontal="center"/>
    </xf>
    <xf numFmtId="8" fontId="0" fillId="6" borderId="5" xfId="0" applyNumberFormat="1" applyFill="1" applyBorder="1" applyAlignment="1">
      <alignment horizontal="center"/>
    </xf>
    <xf numFmtId="8" fontId="0" fillId="7" borderId="5" xfId="0" applyNumberFormat="1" applyFill="1" applyBorder="1" applyAlignment="1">
      <alignment horizontal="center"/>
    </xf>
    <xf numFmtId="8" fontId="0" fillId="7" borderId="10" xfId="0" applyNumberFormat="1" applyFill="1" applyBorder="1"/>
    <xf numFmtId="8" fontId="0" fillId="8" borderId="10" xfId="0" applyNumberFormat="1" applyFill="1" applyBorder="1"/>
    <xf numFmtId="8" fontId="0" fillId="9" borderId="10" xfId="0" applyNumberFormat="1" applyFill="1" applyBorder="1"/>
    <xf numFmtId="8" fontId="0" fillId="10" borderId="10" xfId="0" applyNumberFormat="1" applyFill="1" applyBorder="1"/>
    <xf numFmtId="165" fontId="0" fillId="0" borderId="5" xfId="1" applyNumberFormat="1" applyFont="1" applyBorder="1"/>
    <xf numFmtId="10" fontId="0" fillId="0" borderId="5" xfId="1" applyNumberFormat="1" applyFont="1" applyBorder="1" applyAlignment="1">
      <alignment horizontal="center"/>
    </xf>
    <xf numFmtId="10" fontId="0" fillId="0" borderId="5" xfId="1" applyNumberFormat="1" applyFont="1" applyBorder="1" applyAlignment="1">
      <alignment horizontal="right"/>
    </xf>
    <xf numFmtId="0" fontId="2" fillId="3" borderId="11" xfId="0" applyFont="1" applyFill="1" applyBorder="1" applyAlignment="1">
      <alignment vertical="center" wrapText="1"/>
    </xf>
    <xf numFmtId="0" fontId="0" fillId="11" borderId="5" xfId="0" applyFill="1" applyBorder="1"/>
    <xf numFmtId="0" fontId="2" fillId="5" borderId="5" xfId="0" applyFont="1" applyFill="1" applyBorder="1"/>
    <xf numFmtId="0" fontId="2" fillId="2" borderId="5"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2" fillId="3" borderId="5" xfId="0" applyFont="1" applyFill="1" applyBorder="1" applyAlignment="1">
      <alignment horizontal="center" vertical="center" wrapText="1"/>
    </xf>
    <xf numFmtId="0" fontId="2" fillId="2" borderId="5" xfId="0" applyFont="1" applyFill="1" applyBorder="1" applyAlignment="1">
      <alignment horizontal="left"/>
    </xf>
    <xf numFmtId="0" fontId="2" fillId="2" borderId="2" xfId="0" applyFont="1" applyFill="1" applyBorder="1" applyAlignment="1">
      <alignment horizontal="left"/>
    </xf>
    <xf numFmtId="0" fontId="2" fillId="2" borderId="3" xfId="0" applyFont="1" applyFill="1" applyBorder="1" applyAlignment="1">
      <alignment horizontal="left"/>
    </xf>
    <xf numFmtId="0" fontId="2" fillId="2" borderId="4" xfId="0" applyFont="1" applyFill="1" applyBorder="1" applyAlignment="1">
      <alignment horizontal="left"/>
    </xf>
    <xf numFmtId="0" fontId="2" fillId="3" borderId="5" xfId="0" applyFont="1" applyFill="1" applyBorder="1" applyAlignment="1">
      <alignment horizontal="center"/>
    </xf>
    <xf numFmtId="0" fontId="0" fillId="0" borderId="0" xfId="0" applyAlignment="1">
      <alignment horizontal="left" wrapText="1"/>
    </xf>
    <xf numFmtId="0" fontId="0" fillId="0" borderId="0" xfId="0" applyAlignment="1">
      <alignment horizontal="left"/>
    </xf>
    <xf numFmtId="0" fontId="2" fillId="3" borderId="5" xfId="0" applyFont="1" applyFill="1" applyBorder="1" applyAlignment="1">
      <alignment horizontal="left"/>
    </xf>
    <xf numFmtId="0" fontId="0" fillId="0" borderId="0" xfId="0" applyAlignment="1">
      <alignment horizontal="left" vertical="center" wrapText="1"/>
    </xf>
    <xf numFmtId="0" fontId="0" fillId="0" borderId="0" xfId="0" applyAlignment="1">
      <alignment vertical="center" wrapText="1"/>
    </xf>
    <xf numFmtId="0" fontId="2" fillId="3" borderId="12" xfId="0" applyFont="1" applyFill="1" applyBorder="1" applyAlignment="1">
      <alignment horizontal="left"/>
    </xf>
    <xf numFmtId="0" fontId="2" fillId="3" borderId="15" xfId="0" applyFont="1" applyFill="1" applyBorder="1" applyAlignment="1">
      <alignment horizontal="left"/>
    </xf>
    <xf numFmtId="0" fontId="0" fillId="0" borderId="0" xfId="0" applyAlignment="1">
      <alignment horizontal="left" vertical="center"/>
    </xf>
    <xf numFmtId="0" fontId="2" fillId="12" borderId="5" xfId="0" applyFont="1" applyFill="1" applyBorder="1" applyAlignment="1">
      <alignment horizontal="left"/>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39BCD-2507-4AD1-BD49-3DAA5CA9FE96}">
  <sheetPr>
    <tabColor rgb="FF7030A0"/>
  </sheetPr>
  <dimension ref="A1:H43"/>
  <sheetViews>
    <sheetView tabSelected="1" workbookViewId="0">
      <pane ySplit="3" topLeftCell="A4" activePane="bottomLeft" state="frozen"/>
      <selection pane="bottomLeft" activeCell="I18" sqref="I18"/>
    </sheetView>
  </sheetViews>
  <sheetFormatPr defaultRowHeight="14.5" x14ac:dyDescent="0.35"/>
  <cols>
    <col min="1" max="1" width="26.90625" bestFit="1" customWidth="1"/>
    <col min="2" max="6" width="16.08984375" bestFit="1" customWidth="1"/>
    <col min="7" max="7" width="17" bestFit="1" customWidth="1"/>
    <col min="8" max="8" width="18.26953125" bestFit="1" customWidth="1"/>
  </cols>
  <sheetData>
    <row r="1" spans="1:8" ht="15" thickBot="1" x14ac:dyDescent="0.4">
      <c r="A1" s="64" t="s">
        <v>0</v>
      </c>
      <c r="B1" s="65"/>
      <c r="C1" s="66"/>
      <c r="D1" s="33"/>
      <c r="E1" s="33"/>
      <c r="F1" s="33"/>
    </row>
    <row r="2" spans="1:8" ht="15" thickBot="1" x14ac:dyDescent="0.4"/>
    <row r="3" spans="1:8" ht="15" thickBot="1" x14ac:dyDescent="0.4">
      <c r="A3" s="6" t="s">
        <v>1</v>
      </c>
      <c r="B3" s="7" t="s">
        <v>2</v>
      </c>
      <c r="C3" s="7" t="s">
        <v>3</v>
      </c>
      <c r="D3" s="7" t="s">
        <v>4</v>
      </c>
      <c r="E3" s="7" t="s">
        <v>5</v>
      </c>
      <c r="F3" s="7" t="s">
        <v>6</v>
      </c>
      <c r="G3" s="38" t="s">
        <v>7</v>
      </c>
      <c r="H3" s="5" t="s">
        <v>158</v>
      </c>
    </row>
    <row r="4" spans="1:8" ht="15" thickBot="1" x14ac:dyDescent="0.4"/>
    <row r="5" spans="1:8" x14ac:dyDescent="0.35">
      <c r="A5" s="2" t="s">
        <v>8</v>
      </c>
    </row>
    <row r="6" spans="1:8" x14ac:dyDescent="0.35">
      <c r="A6" s="3" t="s">
        <v>9</v>
      </c>
      <c r="B6" s="3">
        <v>240</v>
      </c>
      <c r="C6" s="3">
        <v>244</v>
      </c>
      <c r="D6" s="3">
        <v>248</v>
      </c>
      <c r="E6" s="3">
        <v>253</v>
      </c>
      <c r="F6" s="3">
        <v>258</v>
      </c>
      <c r="G6" s="3" t="s">
        <v>10</v>
      </c>
      <c r="H6" s="39">
        <f>F6/$F$9</f>
        <v>0.5386221294363257</v>
      </c>
    </row>
    <row r="7" spans="1:8" x14ac:dyDescent="0.35">
      <c r="A7" s="3" t="s">
        <v>11</v>
      </c>
      <c r="B7" s="3">
        <v>99</v>
      </c>
      <c r="C7" s="3">
        <v>101</v>
      </c>
      <c r="D7" s="3">
        <v>104</v>
      </c>
      <c r="E7" s="3">
        <v>107</v>
      </c>
      <c r="F7" s="3">
        <v>110</v>
      </c>
      <c r="G7" s="3" t="s">
        <v>10</v>
      </c>
      <c r="H7" s="39">
        <f t="shared" ref="H7:H8" si="0">F7/$F$9</f>
        <v>0.22964509394572025</v>
      </c>
    </row>
    <row r="8" spans="1:8" x14ac:dyDescent="0.35">
      <c r="A8" s="3" t="s">
        <v>12</v>
      </c>
      <c r="B8" s="3">
        <v>97</v>
      </c>
      <c r="C8" s="3">
        <v>100</v>
      </c>
      <c r="D8" s="3">
        <v>103</v>
      </c>
      <c r="E8" s="3">
        <v>107</v>
      </c>
      <c r="F8" s="3">
        <v>111</v>
      </c>
      <c r="G8" s="3" t="s">
        <v>10</v>
      </c>
      <c r="H8" s="39">
        <f t="shared" si="0"/>
        <v>0.23173277661795408</v>
      </c>
    </row>
    <row r="9" spans="1:8" x14ac:dyDescent="0.35">
      <c r="A9" s="3" t="s">
        <v>13</v>
      </c>
      <c r="B9" s="3">
        <f>B6+B7+B8</f>
        <v>436</v>
      </c>
      <c r="C9" s="3">
        <f>C6+C7+C8</f>
        <v>445</v>
      </c>
      <c r="D9" s="3">
        <f>D6+D7+D8</f>
        <v>455</v>
      </c>
      <c r="E9" s="3">
        <f>E6+E7+E8</f>
        <v>467</v>
      </c>
      <c r="F9" s="3">
        <f>F6+F7+F8</f>
        <v>479</v>
      </c>
      <c r="G9" s="3" t="s">
        <v>14</v>
      </c>
      <c r="H9" s="27"/>
    </row>
    <row r="10" spans="1:8" x14ac:dyDescent="0.35">
      <c r="A10" s="3" t="s">
        <v>15</v>
      </c>
      <c r="B10" s="16">
        <v>7</v>
      </c>
      <c r="C10" s="3">
        <f>C9-B9</f>
        <v>9</v>
      </c>
      <c r="D10" s="3">
        <f>D9-C9</f>
        <v>10</v>
      </c>
      <c r="E10" s="3">
        <f>E9-D9</f>
        <v>12</v>
      </c>
      <c r="F10" s="3">
        <f>F9-E9</f>
        <v>12</v>
      </c>
      <c r="G10" s="3" t="s">
        <v>14</v>
      </c>
    </row>
    <row r="11" spans="1:8" ht="15" thickBot="1" x14ac:dyDescent="0.4"/>
    <row r="12" spans="1:8" x14ac:dyDescent="0.35">
      <c r="A12" s="2" t="s">
        <v>17</v>
      </c>
    </row>
    <row r="13" spans="1:8" x14ac:dyDescent="0.35">
      <c r="A13" s="3" t="s">
        <v>35</v>
      </c>
      <c r="B13" s="10">
        <f>3510*1000000</f>
        <v>3510000000</v>
      </c>
      <c r="C13" s="10">
        <f>4090*1000000</f>
        <v>4090000000</v>
      </c>
      <c r="D13" s="10">
        <f>4440*1000000</f>
        <v>4440000000</v>
      </c>
      <c r="E13" s="10">
        <f>4710*1000000</f>
        <v>4710000000</v>
      </c>
      <c r="F13" s="10">
        <f>4960*1000000</f>
        <v>4960000000</v>
      </c>
      <c r="G13" s="3" t="s">
        <v>10</v>
      </c>
      <c r="H13" s="31"/>
    </row>
    <row r="14" spans="1:8" x14ac:dyDescent="0.35">
      <c r="A14" s="3" t="s">
        <v>18</v>
      </c>
      <c r="B14" s="11" t="s">
        <v>16</v>
      </c>
      <c r="C14" s="12">
        <f>((C13-B13)/B13)</f>
        <v>0.16524216524216523</v>
      </c>
      <c r="D14" s="12">
        <f>((D13-C13)/C13)</f>
        <v>8.557457212713937E-2</v>
      </c>
      <c r="E14" s="12">
        <f>((E13-D13)/D13)</f>
        <v>6.0810810810810814E-2</v>
      </c>
      <c r="F14" s="12">
        <f>((F13-E13)/E13)</f>
        <v>5.3078556263269641E-2</v>
      </c>
      <c r="G14" s="3" t="s">
        <v>14</v>
      </c>
    </row>
    <row r="15" spans="1:8" x14ac:dyDescent="0.35">
      <c r="A15" s="3" t="s">
        <v>19</v>
      </c>
      <c r="B15" s="4">
        <v>-0.04</v>
      </c>
      <c r="C15" s="4">
        <v>0.13</v>
      </c>
      <c r="D15" s="4">
        <v>0.05</v>
      </c>
      <c r="E15" s="4">
        <v>0.03</v>
      </c>
      <c r="F15" s="4">
        <v>0.02</v>
      </c>
      <c r="G15" s="3" t="s">
        <v>20</v>
      </c>
      <c r="H15" s="15"/>
    </row>
    <row r="16" spans="1:8" x14ac:dyDescent="0.35">
      <c r="B16" s="1"/>
      <c r="C16" s="1"/>
      <c r="D16" s="1"/>
      <c r="E16" s="1"/>
      <c r="F16" s="1"/>
    </row>
    <row r="17" spans="1:7" x14ac:dyDescent="0.35">
      <c r="A17" s="5" t="s">
        <v>24</v>
      </c>
    </row>
    <row r="18" spans="1:7" x14ac:dyDescent="0.35">
      <c r="A18" s="3" t="s">
        <v>41</v>
      </c>
      <c r="B18" s="10">
        <f>B13/B9</f>
        <v>8050458.7155963304</v>
      </c>
      <c r="C18" s="10">
        <f>C13/C9</f>
        <v>9191011.2359550558</v>
      </c>
      <c r="D18" s="10">
        <f>D13/D9</f>
        <v>9758241.7582417578</v>
      </c>
      <c r="E18" s="10">
        <f>E13/E9</f>
        <v>10085653.104925053</v>
      </c>
      <c r="F18" s="10">
        <f>F13/F9</f>
        <v>10354906.05427975</v>
      </c>
      <c r="G18" s="3" t="s">
        <v>14</v>
      </c>
    </row>
    <row r="19" spans="1:7" x14ac:dyDescent="0.35">
      <c r="A19" s="3" t="s">
        <v>25</v>
      </c>
      <c r="B19" s="11" t="s">
        <v>16</v>
      </c>
      <c r="C19" s="12">
        <f>((C18-B18)/B18)</f>
        <v>0.14167546976535736</v>
      </c>
      <c r="D19" s="12">
        <f t="shared" ref="D19:F19" si="1">((D18-C18)/C18)</f>
        <v>6.1715790322147281E-2</v>
      </c>
      <c r="E19" s="12">
        <f t="shared" si="1"/>
        <v>3.3552288905607984E-2</v>
      </c>
      <c r="F19" s="12">
        <f t="shared" si="1"/>
        <v>2.669663001032771E-2</v>
      </c>
      <c r="G19" s="3" t="s">
        <v>14</v>
      </c>
    </row>
    <row r="20" spans="1:7" x14ac:dyDescent="0.35">
      <c r="B20" s="26"/>
      <c r="C20" s="27"/>
      <c r="D20" s="27"/>
      <c r="E20" s="27"/>
      <c r="F20" s="27"/>
    </row>
    <row r="21" spans="1:7" x14ac:dyDescent="0.35">
      <c r="A21" s="5" t="s">
        <v>92</v>
      </c>
      <c r="B21" s="26"/>
      <c r="C21" s="27"/>
      <c r="D21" s="27"/>
      <c r="E21" s="27"/>
      <c r="F21" s="27"/>
    </row>
    <row r="22" spans="1:7" x14ac:dyDescent="0.35">
      <c r="A22" s="3" t="s">
        <v>93</v>
      </c>
      <c r="B22" s="13">
        <f>B13-B27</f>
        <v>2495610000</v>
      </c>
      <c r="C22" s="13">
        <f>C13-C27</f>
        <v>2858910000</v>
      </c>
      <c r="D22" s="13">
        <f>D13-D27</f>
        <v>3068040000</v>
      </c>
      <c r="E22" s="13">
        <f>E13-E27</f>
        <v>3249900000</v>
      </c>
      <c r="F22" s="13">
        <f>F13-F27</f>
        <v>3422400000</v>
      </c>
      <c r="G22" s="3" t="s">
        <v>14</v>
      </c>
    </row>
    <row r="23" spans="1:7" x14ac:dyDescent="0.35">
      <c r="A23" s="3" t="s">
        <v>94</v>
      </c>
      <c r="B23" s="28">
        <f>B22/B13</f>
        <v>0.71099999999999997</v>
      </c>
      <c r="C23" s="28">
        <f>C22/C13</f>
        <v>0.69899999999999995</v>
      </c>
      <c r="D23" s="28">
        <f>D22/D13</f>
        <v>0.69099999999999995</v>
      </c>
      <c r="E23" s="28">
        <f>E22/E13</f>
        <v>0.69</v>
      </c>
      <c r="F23" s="28">
        <f>F22/F13</f>
        <v>0.69</v>
      </c>
      <c r="G23" s="3" t="s">
        <v>14</v>
      </c>
    </row>
    <row r="24" spans="1:7" ht="15" thickBot="1" x14ac:dyDescent="0.4"/>
    <row r="25" spans="1:7" x14ac:dyDescent="0.35">
      <c r="A25" s="2" t="s">
        <v>26</v>
      </c>
    </row>
    <row r="26" spans="1:7" x14ac:dyDescent="0.35">
      <c r="A26" s="3" t="s">
        <v>27</v>
      </c>
      <c r="B26" s="4">
        <v>0.28899999999999998</v>
      </c>
      <c r="C26" s="4">
        <v>0.30099999999999999</v>
      </c>
      <c r="D26" s="4">
        <v>0.309</v>
      </c>
      <c r="E26" s="4">
        <v>0.31</v>
      </c>
      <c r="F26" s="4">
        <v>0.31</v>
      </c>
      <c r="G26" s="3" t="s">
        <v>10</v>
      </c>
    </row>
    <row r="27" spans="1:7" x14ac:dyDescent="0.35">
      <c r="A27" s="3" t="s">
        <v>37</v>
      </c>
      <c r="B27" s="10">
        <f>B26*B13</f>
        <v>1014389999.9999999</v>
      </c>
      <c r="C27" s="10">
        <f>C26*C13</f>
        <v>1231090000</v>
      </c>
      <c r="D27" s="10">
        <f>D26*D13</f>
        <v>1371960000</v>
      </c>
      <c r="E27" s="10">
        <f>E26*E13</f>
        <v>1460100000</v>
      </c>
      <c r="F27" s="10">
        <f>F26*F13</f>
        <v>1537600000</v>
      </c>
      <c r="G27" s="3" t="s">
        <v>14</v>
      </c>
    </row>
    <row r="28" spans="1:7" x14ac:dyDescent="0.35">
      <c r="A28" s="9"/>
    </row>
    <row r="29" spans="1:7" x14ac:dyDescent="0.35">
      <c r="A29" s="5" t="s">
        <v>28</v>
      </c>
    </row>
    <row r="30" spans="1:7" x14ac:dyDescent="0.35">
      <c r="A30" s="3" t="s">
        <v>29</v>
      </c>
      <c r="B30" s="4">
        <v>0.13400000000000001</v>
      </c>
      <c r="C30" s="4">
        <v>0.13100000000000001</v>
      </c>
      <c r="D30" s="4">
        <v>0.128</v>
      </c>
      <c r="E30" s="4">
        <v>0.127</v>
      </c>
      <c r="F30" s="4">
        <v>0.127</v>
      </c>
      <c r="G30" s="3" t="s">
        <v>30</v>
      </c>
    </row>
    <row r="31" spans="1:7" x14ac:dyDescent="0.35">
      <c r="A31" s="3" t="s">
        <v>31</v>
      </c>
      <c r="B31" s="4">
        <v>8.5000000000000006E-2</v>
      </c>
      <c r="C31" s="4">
        <v>8.3000000000000004E-2</v>
      </c>
      <c r="D31" s="4">
        <v>8.1000000000000003E-2</v>
      </c>
      <c r="E31" s="4">
        <v>0.08</v>
      </c>
      <c r="F31" s="4">
        <v>0.08</v>
      </c>
      <c r="G31" s="3" t="s">
        <v>30</v>
      </c>
    </row>
    <row r="32" spans="1:7" x14ac:dyDescent="0.35">
      <c r="A32" s="3" t="s">
        <v>32</v>
      </c>
      <c r="B32" s="4">
        <v>0.14199999999999999</v>
      </c>
      <c r="C32" s="4">
        <v>0.13800000000000001</v>
      </c>
      <c r="D32" s="4">
        <v>0.13500000000000001</v>
      </c>
      <c r="E32" s="4">
        <v>0.13200000000000001</v>
      </c>
      <c r="F32" s="4">
        <v>0.13</v>
      </c>
      <c r="G32" s="3" t="s">
        <v>10</v>
      </c>
    </row>
    <row r="33" spans="1:7" x14ac:dyDescent="0.35">
      <c r="B33" s="1"/>
      <c r="C33" s="1"/>
      <c r="D33" s="1"/>
      <c r="E33" s="1"/>
      <c r="F33" s="1"/>
    </row>
    <row r="34" spans="1:7" x14ac:dyDescent="0.35">
      <c r="A34" s="5" t="s">
        <v>21</v>
      </c>
    </row>
    <row r="35" spans="1:7" x14ac:dyDescent="0.35">
      <c r="A35" s="3" t="s">
        <v>22</v>
      </c>
      <c r="B35" s="4">
        <v>0.155</v>
      </c>
      <c r="C35" s="4">
        <v>0.161</v>
      </c>
      <c r="D35" s="4">
        <v>0.161</v>
      </c>
      <c r="E35" s="4">
        <v>0.14899999999999999</v>
      </c>
      <c r="F35" s="4">
        <v>0.13500000000000001</v>
      </c>
      <c r="G35" s="3" t="s">
        <v>10</v>
      </c>
    </row>
    <row r="36" spans="1:7" x14ac:dyDescent="0.35">
      <c r="A36" s="3" t="s">
        <v>36</v>
      </c>
      <c r="B36" s="10">
        <f>B13*B35</f>
        <v>544050000</v>
      </c>
      <c r="C36" s="10">
        <f>C13*C35</f>
        <v>658490000</v>
      </c>
      <c r="D36" s="10">
        <f>D13*D35</f>
        <v>714840000</v>
      </c>
      <c r="E36" s="10">
        <f>E13*E35</f>
        <v>701790000</v>
      </c>
      <c r="F36" s="10">
        <f>F13*F35</f>
        <v>669600000</v>
      </c>
      <c r="G36" s="3" t="s">
        <v>14</v>
      </c>
    </row>
    <row r="37" spans="1:7" x14ac:dyDescent="0.35">
      <c r="A37" s="3" t="s">
        <v>23</v>
      </c>
      <c r="B37" s="11" t="s">
        <v>16</v>
      </c>
      <c r="C37" s="12">
        <f>((C36-B36)/B36)</f>
        <v>0.21034831357412004</v>
      </c>
      <c r="D37" s="12">
        <f t="shared" ref="D37" si="2">((D36-C36)/C36)</f>
        <v>8.557457212713937E-2</v>
      </c>
      <c r="E37" s="12">
        <f t="shared" ref="E37" si="3">((E36-D36)/D36)</f>
        <v>-1.8255833473224778E-2</v>
      </c>
      <c r="F37" s="12">
        <f t="shared" ref="F37" si="4">((F36-E36)/E36)</f>
        <v>-4.5868422177574489E-2</v>
      </c>
      <c r="G37" s="3" t="s">
        <v>14</v>
      </c>
    </row>
    <row r="38" spans="1:7" ht="15" thickBot="1" x14ac:dyDescent="0.4">
      <c r="B38" s="1"/>
      <c r="C38" s="1"/>
      <c r="D38" s="1"/>
      <c r="E38" s="1"/>
      <c r="F38" s="1"/>
    </row>
    <row r="39" spans="1:7" x14ac:dyDescent="0.35">
      <c r="A39" s="2" t="s">
        <v>33</v>
      </c>
    </row>
    <row r="40" spans="1:7" x14ac:dyDescent="0.35">
      <c r="A40" s="3" t="s">
        <v>41</v>
      </c>
      <c r="B40" s="10">
        <f>B13/B9</f>
        <v>8050458.7155963304</v>
      </c>
      <c r="C40" s="10">
        <f>C13/C9</f>
        <v>9191011.2359550558</v>
      </c>
      <c r="D40" s="10">
        <f>D13/D9</f>
        <v>9758241.7582417578</v>
      </c>
      <c r="E40" s="10">
        <f>E13/E9</f>
        <v>10085653.104925053</v>
      </c>
      <c r="F40" s="10">
        <f>F13/F9</f>
        <v>10354906.05427975</v>
      </c>
      <c r="G40" s="3" t="s">
        <v>14</v>
      </c>
    </row>
    <row r="41" spans="1:7" x14ac:dyDescent="0.35">
      <c r="A41" s="3" t="s">
        <v>38</v>
      </c>
      <c r="B41" s="10">
        <f>2.5*1000000</f>
        <v>2500000</v>
      </c>
      <c r="C41" s="10">
        <f>2.5*1000000</f>
        <v>2500000</v>
      </c>
      <c r="D41" s="10">
        <f>2.8*1000000</f>
        <v>2800000</v>
      </c>
      <c r="E41" s="10">
        <f>3*1000000</f>
        <v>3000000</v>
      </c>
      <c r="F41" s="10">
        <f>3*1000000</f>
        <v>3000000</v>
      </c>
      <c r="G41" s="3" t="s">
        <v>34</v>
      </c>
    </row>
    <row r="42" spans="1:7" x14ac:dyDescent="0.35">
      <c r="A42" s="3" t="s">
        <v>39</v>
      </c>
      <c r="B42" s="10">
        <f>1*1000000</f>
        <v>1000000</v>
      </c>
      <c r="C42" s="10">
        <f>1*1000000</f>
        <v>1000000</v>
      </c>
      <c r="D42" s="10">
        <f>1.1*1000000</f>
        <v>1100000</v>
      </c>
      <c r="E42" s="10">
        <f>1.2*1000000</f>
        <v>1200000</v>
      </c>
      <c r="F42" s="10">
        <f>1.2*1000000</f>
        <v>1200000</v>
      </c>
      <c r="G42" s="3" t="s">
        <v>34</v>
      </c>
    </row>
    <row r="43" spans="1:7" x14ac:dyDescent="0.35">
      <c r="A43" s="3" t="s">
        <v>40</v>
      </c>
      <c r="B43" s="10">
        <f>B41+B42</f>
        <v>3500000</v>
      </c>
      <c r="C43" s="10">
        <f t="shared" ref="C43:F43" si="5">C41+C42</f>
        <v>3500000</v>
      </c>
      <c r="D43" s="10">
        <f t="shared" si="5"/>
        <v>3900000</v>
      </c>
      <c r="E43" s="10">
        <f t="shared" si="5"/>
        <v>4200000</v>
      </c>
      <c r="F43" s="10">
        <f t="shared" si="5"/>
        <v>4200000</v>
      </c>
      <c r="G43" s="3" t="s">
        <v>14</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CE1C7-3755-4B6D-8006-444821C25838}">
  <sheetPr>
    <tabColor rgb="FFFF0000"/>
  </sheetPr>
  <dimension ref="A1:I73"/>
  <sheetViews>
    <sheetView workbookViewId="0">
      <pane ySplit="3" topLeftCell="A4" activePane="bottomLeft" state="frozen"/>
      <selection pane="bottomLeft" activeCell="B44" sqref="B44"/>
    </sheetView>
  </sheetViews>
  <sheetFormatPr defaultRowHeight="14.5" x14ac:dyDescent="0.35"/>
  <cols>
    <col min="1" max="1" width="30.36328125" bestFit="1" customWidth="1"/>
    <col min="2" max="2" width="13.54296875" bestFit="1" customWidth="1"/>
    <col min="3" max="3" width="16.08984375" bestFit="1" customWidth="1"/>
    <col min="4" max="4" width="13.54296875" bestFit="1" customWidth="1"/>
    <col min="5" max="5" width="74.6328125" bestFit="1" customWidth="1"/>
    <col min="6" max="7" width="13.54296875" bestFit="1" customWidth="1"/>
    <col min="8" max="8" width="13.453125" customWidth="1"/>
    <col min="9" max="9" width="13.54296875" bestFit="1" customWidth="1"/>
  </cols>
  <sheetData>
    <row r="1" spans="1:9" x14ac:dyDescent="0.35">
      <c r="A1" s="68" t="s">
        <v>42</v>
      </c>
      <c r="B1" s="68"/>
      <c r="C1" s="68"/>
      <c r="D1" s="33"/>
      <c r="E1" s="33"/>
      <c r="F1" s="33"/>
    </row>
    <row r="3" spans="1:9" ht="14.5" customHeight="1" x14ac:dyDescent="0.35">
      <c r="A3" s="14" t="s">
        <v>43</v>
      </c>
      <c r="B3" s="14" t="s">
        <v>44</v>
      </c>
      <c r="C3" s="14" t="s">
        <v>45</v>
      </c>
      <c r="D3" s="14" t="s">
        <v>46</v>
      </c>
      <c r="E3" s="14" t="s">
        <v>47</v>
      </c>
      <c r="G3" s="67" t="s">
        <v>116</v>
      </c>
      <c r="H3" s="67"/>
      <c r="I3" s="67"/>
    </row>
    <row r="5" spans="1:9" x14ac:dyDescent="0.35">
      <c r="A5" s="5" t="s">
        <v>48</v>
      </c>
      <c r="G5" s="19" t="s">
        <v>117</v>
      </c>
      <c r="H5" s="19" t="s">
        <v>118</v>
      </c>
      <c r="I5" s="19" t="s">
        <v>119</v>
      </c>
    </row>
    <row r="6" spans="1:9" x14ac:dyDescent="0.35">
      <c r="A6" s="3" t="s">
        <v>19</v>
      </c>
      <c r="B6" s="4">
        <v>0.01</v>
      </c>
      <c r="C6" s="4">
        <v>0.03</v>
      </c>
      <c r="D6" s="4">
        <v>0.05</v>
      </c>
      <c r="E6" s="3" t="s">
        <v>49</v>
      </c>
      <c r="G6" s="10">
        <f>ACTUALS!F40*(1+AVERAGE(ACTUALS!$D$19:$F$19))</f>
        <v>10775883.756312381</v>
      </c>
      <c r="H6" s="10">
        <f>G6*(1+AVERAGE(ACTUALS!$D$19:$F$19))</f>
        <v>11213976.266019722</v>
      </c>
      <c r="I6" s="10">
        <f>H6*(1+AVERAGE(ACTUALS!$D$19:$F$19))</f>
        <v>11669879.384249009</v>
      </c>
    </row>
    <row r="7" spans="1:9" x14ac:dyDescent="0.35">
      <c r="A7" s="3" t="s">
        <v>141</v>
      </c>
      <c r="B7" s="29">
        <f>C7*(1-$B$6)</f>
        <v>5521607.7335785674</v>
      </c>
      <c r="C7" s="29">
        <f>ACTUALS!H6*ACTUALS!$F$18</f>
        <v>5577381.5490692602</v>
      </c>
      <c r="D7" s="29">
        <f>C7*(1+$D$6)</f>
        <v>5856250.6265227236</v>
      </c>
      <c r="E7" s="3" t="s">
        <v>50</v>
      </c>
    </row>
    <row r="8" spans="1:9" x14ac:dyDescent="0.35">
      <c r="A8" s="3" t="s">
        <v>142</v>
      </c>
      <c r="B8" s="29">
        <f t="shared" ref="B8:B9" si="0">C8*(1-$B$6)</f>
        <v>2354173.8398978389</v>
      </c>
      <c r="C8" s="29">
        <f>ACTUALS!H7*ACTUALS!$F$18</f>
        <v>2377953.3736341805</v>
      </c>
      <c r="D8" s="29">
        <f t="shared" ref="D8:D9" si="1">C8*(1+$D$6)</f>
        <v>2496851.0423158896</v>
      </c>
      <c r="E8" s="3" t="s">
        <v>51</v>
      </c>
    </row>
    <row r="9" spans="1:9" x14ac:dyDescent="0.35">
      <c r="A9" s="3" t="s">
        <v>143</v>
      </c>
      <c r="B9" s="29">
        <f t="shared" si="0"/>
        <v>2375575.4202605463</v>
      </c>
      <c r="C9" s="29">
        <f>ACTUALS!H8*ACTUALS!$F$18</f>
        <v>2399571.1315763094</v>
      </c>
      <c r="D9" s="29">
        <f t="shared" si="1"/>
        <v>2519549.6881551249</v>
      </c>
      <c r="E9" s="3" t="s">
        <v>51</v>
      </c>
    </row>
    <row r="10" spans="1:9" x14ac:dyDescent="0.35">
      <c r="A10" s="3" t="s">
        <v>52</v>
      </c>
      <c r="B10" s="4">
        <v>1.4999999999999999E-2</v>
      </c>
      <c r="C10" s="4">
        <v>0.03</v>
      </c>
      <c r="D10" s="4">
        <v>4.4999999999999998E-2</v>
      </c>
      <c r="E10" s="3" t="s">
        <v>53</v>
      </c>
    </row>
    <row r="12" spans="1:9" x14ac:dyDescent="0.35">
      <c r="A12" s="5" t="s">
        <v>54</v>
      </c>
    </row>
    <row r="13" spans="1:9" x14ac:dyDescent="0.35">
      <c r="A13" s="3" t="s">
        <v>55</v>
      </c>
      <c r="B13" s="3">
        <v>3</v>
      </c>
      <c r="C13" s="3">
        <v>5</v>
      </c>
      <c r="D13" s="3">
        <v>7</v>
      </c>
      <c r="E13" s="3" t="s">
        <v>56</v>
      </c>
      <c r="F13" s="40"/>
    </row>
    <row r="14" spans="1:9" x14ac:dyDescent="0.35">
      <c r="A14" s="3" t="s">
        <v>57</v>
      </c>
      <c r="B14" s="3">
        <v>2</v>
      </c>
      <c r="C14" s="3">
        <v>4</v>
      </c>
      <c r="D14" s="3">
        <v>5</v>
      </c>
      <c r="E14" s="3" t="s">
        <v>58</v>
      </c>
    </row>
    <row r="15" spans="1:9" x14ac:dyDescent="0.35">
      <c r="A15" s="3" t="s">
        <v>59</v>
      </c>
      <c r="B15" s="3">
        <v>2</v>
      </c>
      <c r="C15" s="3">
        <v>3</v>
      </c>
      <c r="D15" s="3">
        <v>4</v>
      </c>
      <c r="E15" s="3" t="s">
        <v>58</v>
      </c>
    </row>
    <row r="16" spans="1:9" x14ac:dyDescent="0.35">
      <c r="A16" s="3" t="s">
        <v>60</v>
      </c>
      <c r="B16" s="3">
        <v>7</v>
      </c>
      <c r="C16" s="3">
        <v>12</v>
      </c>
      <c r="D16" s="3">
        <v>16</v>
      </c>
      <c r="E16" s="3" t="s">
        <v>61</v>
      </c>
    </row>
    <row r="17" spans="1:5" x14ac:dyDescent="0.35">
      <c r="A17" s="3" t="s">
        <v>62</v>
      </c>
      <c r="B17" s="17">
        <v>0.55000000000000004</v>
      </c>
      <c r="C17" s="17">
        <v>0.6</v>
      </c>
      <c r="D17" s="17">
        <v>0.65</v>
      </c>
      <c r="E17" s="3" t="s">
        <v>63</v>
      </c>
    </row>
    <row r="18" spans="1:5" x14ac:dyDescent="0.35">
      <c r="A18" s="3" t="s">
        <v>64</v>
      </c>
      <c r="B18" s="17">
        <v>0.75</v>
      </c>
      <c r="C18" s="17">
        <v>0.8</v>
      </c>
      <c r="D18" s="17">
        <v>0.85</v>
      </c>
      <c r="E18" s="3" t="s">
        <v>65</v>
      </c>
    </row>
    <row r="19" spans="1:5" x14ac:dyDescent="0.35">
      <c r="A19" s="3" t="s">
        <v>66</v>
      </c>
      <c r="B19" s="17">
        <v>0.9</v>
      </c>
      <c r="C19" s="17">
        <v>0.95</v>
      </c>
      <c r="D19" s="17">
        <v>1</v>
      </c>
      <c r="E19" s="3" t="s">
        <v>67</v>
      </c>
    </row>
    <row r="20" spans="1:5" x14ac:dyDescent="0.35">
      <c r="A20" s="3" t="s">
        <v>68</v>
      </c>
      <c r="B20" s="17">
        <v>1</v>
      </c>
      <c r="C20" s="17">
        <v>1</v>
      </c>
      <c r="D20" s="17">
        <v>1</v>
      </c>
      <c r="E20" s="3" t="s">
        <v>69</v>
      </c>
    </row>
    <row r="22" spans="1:5" x14ac:dyDescent="0.35">
      <c r="A22" s="5" t="s">
        <v>70</v>
      </c>
    </row>
    <row r="23" spans="1:5" x14ac:dyDescent="0.35">
      <c r="A23" s="3" t="s">
        <v>71</v>
      </c>
      <c r="B23" s="4">
        <v>0.435</v>
      </c>
      <c r="C23" s="4">
        <v>0.44800000000000001</v>
      </c>
      <c r="D23" s="4">
        <v>0.46</v>
      </c>
      <c r="E23" s="3" t="s">
        <v>72</v>
      </c>
    </row>
    <row r="24" spans="1:5" x14ac:dyDescent="0.35">
      <c r="A24" s="3" t="s">
        <v>73</v>
      </c>
      <c r="B24" s="4">
        <v>1.7999999999999999E-2</v>
      </c>
      <c r="C24" s="4">
        <v>1.4E-2</v>
      </c>
      <c r="D24" s="4">
        <v>1.0999999999999999E-2</v>
      </c>
      <c r="E24" s="3" t="s">
        <v>74</v>
      </c>
    </row>
    <row r="25" spans="1:5" x14ac:dyDescent="0.35">
      <c r="A25" s="3" t="s">
        <v>75</v>
      </c>
      <c r="B25" s="4">
        <v>0.29499999999999998</v>
      </c>
      <c r="C25" s="4">
        <v>0.31</v>
      </c>
      <c r="D25" s="4">
        <v>0.32500000000000001</v>
      </c>
      <c r="E25" s="3" t="s">
        <v>76</v>
      </c>
    </row>
    <row r="26" spans="1:5" x14ac:dyDescent="0.35">
      <c r="A26" s="3" t="s">
        <v>77</v>
      </c>
      <c r="B26" s="4">
        <v>2.1999999999999999E-2</v>
      </c>
      <c r="C26" s="4">
        <v>0.02</v>
      </c>
      <c r="D26" s="4">
        <v>1.7999999999999999E-2</v>
      </c>
      <c r="E26" s="3" t="s">
        <v>78</v>
      </c>
    </row>
    <row r="27" spans="1:5" x14ac:dyDescent="0.35">
      <c r="A27" s="3" t="s">
        <v>79</v>
      </c>
      <c r="B27" s="4">
        <v>8.7999999999999995E-2</v>
      </c>
      <c r="C27" s="4">
        <v>0.08</v>
      </c>
      <c r="D27" s="4">
        <v>7.4999999999999997E-2</v>
      </c>
      <c r="E27" s="3" t="s">
        <v>80</v>
      </c>
    </row>
    <row r="29" spans="1:5" x14ac:dyDescent="0.35">
      <c r="A29" s="5" t="s">
        <v>81</v>
      </c>
    </row>
    <row r="30" spans="1:5" x14ac:dyDescent="0.35">
      <c r="A30" s="3" t="s">
        <v>82</v>
      </c>
      <c r="B30" s="18">
        <v>0.115</v>
      </c>
      <c r="C30" s="18">
        <v>0.108</v>
      </c>
      <c r="D30" s="18">
        <v>0.10199999999999999</v>
      </c>
      <c r="E30" s="3" t="s">
        <v>83</v>
      </c>
    </row>
    <row r="31" spans="1:5" x14ac:dyDescent="0.35">
      <c r="A31" s="3" t="s">
        <v>196</v>
      </c>
      <c r="B31" s="18">
        <f>C31-0.01</f>
        <v>5.7000000000000002E-2</v>
      </c>
      <c r="C31" s="18">
        <v>6.7000000000000004E-2</v>
      </c>
      <c r="D31" s="18">
        <f>C31+0.01</f>
        <v>7.6999999999999999E-2</v>
      </c>
      <c r="E31" s="3" t="s">
        <v>84</v>
      </c>
    </row>
    <row r="32" spans="1:5" x14ac:dyDescent="0.35">
      <c r="A32" s="3" t="s">
        <v>144</v>
      </c>
      <c r="B32" s="29">
        <f>3.8*1000000</f>
        <v>3800000</v>
      </c>
      <c r="C32" s="29">
        <f>3*1000000</f>
        <v>3000000</v>
      </c>
      <c r="D32" s="29">
        <f>2.8*1000000</f>
        <v>2800000</v>
      </c>
      <c r="E32" s="3" t="s">
        <v>85</v>
      </c>
    </row>
    <row r="33" spans="1:5" x14ac:dyDescent="0.35">
      <c r="A33" s="3" t="s">
        <v>145</v>
      </c>
      <c r="B33" s="29">
        <f>1.4*1000000</f>
        <v>1400000</v>
      </c>
      <c r="C33" s="29">
        <f>1.2*1000000</f>
        <v>1200000</v>
      </c>
      <c r="D33" s="29">
        <f>1*1000000</f>
        <v>1000000</v>
      </c>
      <c r="E33" s="3" t="s">
        <v>86</v>
      </c>
    </row>
    <row r="34" spans="1:5" x14ac:dyDescent="0.35">
      <c r="A34" s="3" t="s">
        <v>146</v>
      </c>
      <c r="B34" s="29">
        <f>5.2*1000000</f>
        <v>5200000</v>
      </c>
      <c r="C34" s="29">
        <f>4.2*1000000</f>
        <v>4200000</v>
      </c>
      <c r="D34" s="29">
        <f>3.8*1000000</f>
        <v>3800000</v>
      </c>
      <c r="E34" s="3" t="s">
        <v>87</v>
      </c>
    </row>
    <row r="35" spans="1:5" x14ac:dyDescent="0.35">
      <c r="A35" s="3" t="s">
        <v>88</v>
      </c>
      <c r="B35" s="16">
        <v>6.5</v>
      </c>
      <c r="C35" s="16">
        <v>4.8</v>
      </c>
      <c r="D35" s="16">
        <v>3.5</v>
      </c>
      <c r="E35" s="3" t="s">
        <v>89</v>
      </c>
    </row>
    <row r="36" spans="1:5" x14ac:dyDescent="0.35">
      <c r="B36" s="21"/>
      <c r="C36" s="21"/>
      <c r="D36" s="21"/>
    </row>
    <row r="37" spans="1:5" x14ac:dyDescent="0.35">
      <c r="A37" s="5" t="s">
        <v>157</v>
      </c>
      <c r="B37" s="21"/>
      <c r="C37" s="21"/>
      <c r="D37" s="21"/>
    </row>
    <row r="38" spans="1:5" x14ac:dyDescent="0.35">
      <c r="B38" s="16">
        <v>5</v>
      </c>
      <c r="C38" s="16">
        <v>3</v>
      </c>
      <c r="D38" s="16">
        <v>1</v>
      </c>
    </row>
    <row r="39" spans="1:5" x14ac:dyDescent="0.35">
      <c r="B39" s="21"/>
      <c r="C39" s="21"/>
      <c r="D39" s="21"/>
    </row>
    <row r="40" spans="1:5" x14ac:dyDescent="0.35">
      <c r="A40" s="5" t="s">
        <v>161</v>
      </c>
      <c r="B40" s="21"/>
      <c r="C40" s="42"/>
      <c r="D40" s="21"/>
    </row>
    <row r="41" spans="1:5" x14ac:dyDescent="0.35">
      <c r="B41" s="43">
        <v>24000</v>
      </c>
      <c r="C41" s="43">
        <v>24000</v>
      </c>
      <c r="D41" s="43">
        <v>24000</v>
      </c>
    </row>
    <row r="42" spans="1:5" x14ac:dyDescent="0.35">
      <c r="C42" s="42"/>
    </row>
    <row r="43" spans="1:5" ht="15" thickBot="1" x14ac:dyDescent="0.4">
      <c r="A43" s="24" t="s">
        <v>90</v>
      </c>
    </row>
    <row r="44" spans="1:5" ht="15" thickBot="1" x14ac:dyDescent="0.4">
      <c r="A44" s="25" t="s">
        <v>91</v>
      </c>
      <c r="B44" s="23" t="s">
        <v>45</v>
      </c>
    </row>
    <row r="45" spans="1:5" x14ac:dyDescent="0.35">
      <c r="A45" s="8" t="s">
        <v>19</v>
      </c>
      <c r="B45" s="18">
        <f>IF($B$44="Bear",B6,IF($B$44="Base",C6,D6))</f>
        <v>0.03</v>
      </c>
      <c r="C45" s="20"/>
    </row>
    <row r="46" spans="1:5" x14ac:dyDescent="0.35">
      <c r="A46" s="3" t="s">
        <v>141</v>
      </c>
      <c r="B46" s="30">
        <f>IF($B$44="Bear",B7,IF($B$44="Base",C7,D7))</f>
        <v>5577381.5490692602</v>
      </c>
      <c r="C46" s="21"/>
    </row>
    <row r="47" spans="1:5" x14ac:dyDescent="0.35">
      <c r="A47" s="3" t="s">
        <v>142</v>
      </c>
      <c r="B47" s="30">
        <f>IF($B$44="Bear",B8,IF($B$44="Base",C8,D8))</f>
        <v>2377953.3736341805</v>
      </c>
      <c r="C47" s="21"/>
    </row>
    <row r="48" spans="1:5" x14ac:dyDescent="0.35">
      <c r="A48" s="3" t="s">
        <v>143</v>
      </c>
      <c r="B48" s="30">
        <f>IF($B$44="Bear",B9,IF($B$44="Base",C9,D9))</f>
        <v>2399571.1315763094</v>
      </c>
      <c r="C48" s="21"/>
    </row>
    <row r="49" spans="1:3" x14ac:dyDescent="0.35">
      <c r="A49" s="3" t="s">
        <v>52</v>
      </c>
      <c r="B49" s="18">
        <f>IF($B$44="Bear",B10,IF($B$44="Base",C10,D10))</f>
        <v>0.03</v>
      </c>
      <c r="C49" s="21"/>
    </row>
    <row r="50" spans="1:3" x14ac:dyDescent="0.35">
      <c r="A50" s="3" t="s">
        <v>55</v>
      </c>
      <c r="B50" s="22">
        <f t="shared" ref="B50:B57" si="2">IF($B$44="Bear",B13,IF($B$44="Base",C13,D13))</f>
        <v>5</v>
      </c>
      <c r="C50" s="21"/>
    </row>
    <row r="51" spans="1:3" x14ac:dyDescent="0.35">
      <c r="A51" s="3" t="s">
        <v>57</v>
      </c>
      <c r="B51" s="22">
        <f t="shared" si="2"/>
        <v>4</v>
      </c>
      <c r="C51" s="21"/>
    </row>
    <row r="52" spans="1:3" x14ac:dyDescent="0.35">
      <c r="A52" s="3" t="s">
        <v>59</v>
      </c>
      <c r="B52" s="22">
        <f t="shared" si="2"/>
        <v>3</v>
      </c>
      <c r="C52" s="21"/>
    </row>
    <row r="53" spans="1:3" x14ac:dyDescent="0.35">
      <c r="A53" s="3" t="s">
        <v>60</v>
      </c>
      <c r="B53" s="22">
        <f t="shared" si="2"/>
        <v>12</v>
      </c>
      <c r="C53" s="21"/>
    </row>
    <row r="54" spans="1:3" x14ac:dyDescent="0.35">
      <c r="A54" s="3" t="s">
        <v>62</v>
      </c>
      <c r="B54" s="18">
        <f t="shared" si="2"/>
        <v>0.6</v>
      </c>
    </row>
    <row r="55" spans="1:3" x14ac:dyDescent="0.35">
      <c r="A55" s="3" t="s">
        <v>64</v>
      </c>
      <c r="B55" s="18">
        <f t="shared" si="2"/>
        <v>0.8</v>
      </c>
    </row>
    <row r="56" spans="1:3" x14ac:dyDescent="0.35">
      <c r="A56" s="3" t="s">
        <v>66</v>
      </c>
      <c r="B56" s="18">
        <f t="shared" si="2"/>
        <v>0.95</v>
      </c>
    </row>
    <row r="57" spans="1:3" x14ac:dyDescent="0.35">
      <c r="A57" s="3" t="s">
        <v>68</v>
      </c>
      <c r="B57" s="18">
        <f t="shared" si="2"/>
        <v>1</v>
      </c>
    </row>
    <row r="58" spans="1:3" x14ac:dyDescent="0.35">
      <c r="A58" s="3" t="s">
        <v>71</v>
      </c>
      <c r="B58" s="18">
        <f>IF($B$44="Bear",B23,IF($B$44="Base",C23,D23))</f>
        <v>0.44800000000000001</v>
      </c>
    </row>
    <row r="59" spans="1:3" x14ac:dyDescent="0.35">
      <c r="A59" s="3" t="s">
        <v>73</v>
      </c>
      <c r="B59" s="18">
        <f>IF($B$44="Bear",B24,IF($B$44="Base",C24,D24))</f>
        <v>1.4E-2</v>
      </c>
    </row>
    <row r="60" spans="1:3" x14ac:dyDescent="0.35">
      <c r="A60" s="3" t="s">
        <v>75</v>
      </c>
      <c r="B60" s="18">
        <f>IF($B$44="Bear",B25,IF($B$44="Base",C25,D25))</f>
        <v>0.31</v>
      </c>
    </row>
    <row r="61" spans="1:3" x14ac:dyDescent="0.35">
      <c r="A61" s="3" t="s">
        <v>77</v>
      </c>
      <c r="B61" s="18">
        <f>IF($B$44="Bear",B26,IF($B$44="Base",C26,D26))</f>
        <v>0.02</v>
      </c>
    </row>
    <row r="62" spans="1:3" x14ac:dyDescent="0.35">
      <c r="A62" s="3" t="s">
        <v>79</v>
      </c>
      <c r="B62" s="18">
        <f>IF($B$44="Bear",B27,IF($B$44="Base",C27,D27))</f>
        <v>0.08</v>
      </c>
    </row>
    <row r="63" spans="1:3" x14ac:dyDescent="0.35">
      <c r="A63" s="3" t="s">
        <v>82</v>
      </c>
      <c r="B63" s="18">
        <f t="shared" ref="B63:B68" si="3">IF($B$44="Bear",B30,IF($B$44="Base",C30,D30))</f>
        <v>0.108</v>
      </c>
    </row>
    <row r="64" spans="1:3" x14ac:dyDescent="0.35">
      <c r="A64" s="3" t="s">
        <v>196</v>
      </c>
      <c r="B64" s="18">
        <f t="shared" si="3"/>
        <v>6.7000000000000004E-2</v>
      </c>
    </row>
    <row r="65" spans="1:2" x14ac:dyDescent="0.35">
      <c r="A65" s="3" t="s">
        <v>144</v>
      </c>
      <c r="B65" s="30">
        <f t="shared" si="3"/>
        <v>3000000</v>
      </c>
    </row>
    <row r="66" spans="1:2" x14ac:dyDescent="0.35">
      <c r="A66" s="3" t="s">
        <v>145</v>
      </c>
      <c r="B66" s="30">
        <f t="shared" si="3"/>
        <v>1200000</v>
      </c>
    </row>
    <row r="67" spans="1:2" x14ac:dyDescent="0.35">
      <c r="A67" s="3" t="s">
        <v>146</v>
      </c>
      <c r="B67" s="30">
        <f t="shared" si="3"/>
        <v>4200000</v>
      </c>
    </row>
    <row r="68" spans="1:2" x14ac:dyDescent="0.35">
      <c r="A68" s="3" t="s">
        <v>88</v>
      </c>
      <c r="B68" s="16">
        <f t="shared" si="3"/>
        <v>4.8</v>
      </c>
    </row>
    <row r="69" spans="1:2" x14ac:dyDescent="0.35">
      <c r="A69" s="3" t="s">
        <v>157</v>
      </c>
      <c r="B69" s="16">
        <f>IF($B$44="Bear",B38,IF($B$44="Base",C38,D38))</f>
        <v>3</v>
      </c>
    </row>
    <row r="70" spans="1:2" x14ac:dyDescent="0.35">
      <c r="A70" s="3" t="s">
        <v>160</v>
      </c>
      <c r="B70" s="16">
        <f>IF($B$44="Bear",B41,IF($B$44="Base",C41,D41))</f>
        <v>24000</v>
      </c>
    </row>
    <row r="71" spans="1:2" x14ac:dyDescent="0.35">
      <c r="A71" s="3" t="s">
        <v>193</v>
      </c>
      <c r="B71" s="59">
        <v>1.7000000000000001E-2</v>
      </c>
    </row>
    <row r="72" spans="1:2" x14ac:dyDescent="0.35">
      <c r="A72" s="3" t="s">
        <v>194</v>
      </c>
      <c r="B72" s="59">
        <v>7.0000000000000001E-3</v>
      </c>
    </row>
    <row r="73" spans="1:2" x14ac:dyDescent="0.35">
      <c r="A73" s="3" t="s">
        <v>195</v>
      </c>
      <c r="B73" s="59">
        <v>2.4E-2</v>
      </c>
    </row>
  </sheetData>
  <mergeCells count="2">
    <mergeCell ref="G3:I3"/>
    <mergeCell ref="A1:C1"/>
  </mergeCells>
  <phoneticPr fontId="3" type="noConversion"/>
  <dataValidations count="1">
    <dataValidation type="list" allowBlank="1" showInputMessage="1" showErrorMessage="1" sqref="B44" xr:uid="{D3BE4112-500E-4093-B551-2F1FBD97DC49}">
      <formula1>"Base,Bull,Bear"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7DA7B-9994-45DC-AFF9-4995CE48A344}">
  <sheetPr>
    <tabColor rgb="FFFFC000"/>
  </sheetPr>
  <dimension ref="A1:F43"/>
  <sheetViews>
    <sheetView workbookViewId="0">
      <pane ySplit="4" topLeftCell="A22" activePane="bottomLeft" state="frozen"/>
      <selection pane="bottomLeft" activeCell="H11" sqref="H11"/>
    </sheetView>
  </sheetViews>
  <sheetFormatPr defaultRowHeight="14.5" x14ac:dyDescent="0.35"/>
  <cols>
    <col min="1" max="1" width="35.7265625" bestFit="1" customWidth="1"/>
    <col min="2" max="2" width="16.26953125" customWidth="1"/>
    <col min="3" max="5" width="14.54296875" bestFit="1" customWidth="1"/>
    <col min="6" max="6" width="11.1796875" customWidth="1"/>
  </cols>
  <sheetData>
    <row r="1" spans="1:6" ht="15" thickBot="1" x14ac:dyDescent="0.4">
      <c r="A1" s="69" t="s">
        <v>121</v>
      </c>
      <c r="B1" s="70"/>
      <c r="C1" s="71"/>
      <c r="D1" s="33"/>
      <c r="E1" s="62" t="s">
        <v>91</v>
      </c>
      <c r="F1" s="33"/>
    </row>
    <row r="2" spans="1:6" x14ac:dyDescent="0.35">
      <c r="E2" s="61" t="str">
        <f>ASSUMPTIONS!B44</f>
        <v>Base</v>
      </c>
    </row>
    <row r="3" spans="1:6" x14ac:dyDescent="0.35">
      <c r="E3" s="8"/>
    </row>
    <row r="4" spans="1:6" x14ac:dyDescent="0.35">
      <c r="A4" s="14" t="s">
        <v>1</v>
      </c>
      <c r="B4" s="14" t="s">
        <v>95</v>
      </c>
      <c r="C4" s="14" t="s">
        <v>96</v>
      </c>
      <c r="D4" s="14" t="s">
        <v>97</v>
      </c>
      <c r="E4" s="60" t="s">
        <v>98</v>
      </c>
    </row>
    <row r="6" spans="1:6" x14ac:dyDescent="0.35">
      <c r="A6" s="24" t="s">
        <v>99</v>
      </c>
    </row>
    <row r="7" spans="1:6" x14ac:dyDescent="0.35">
      <c r="A7" s="3" t="s">
        <v>100</v>
      </c>
      <c r="B7" s="3">
        <f>ASSUMPTIONS!B50</f>
        <v>5</v>
      </c>
      <c r="C7" s="3">
        <f>B7</f>
        <v>5</v>
      </c>
      <c r="D7" s="3">
        <f>C7</f>
        <v>5</v>
      </c>
      <c r="E7" s="3">
        <f>B7+C7+D7</f>
        <v>15</v>
      </c>
    </row>
    <row r="8" spans="1:6" x14ac:dyDescent="0.35">
      <c r="A8" s="3" t="s">
        <v>101</v>
      </c>
      <c r="B8" s="3">
        <f>ASSUMPTIONS!B51</f>
        <v>4</v>
      </c>
      <c r="C8" s="3">
        <f t="shared" ref="C8:D8" si="0">B8</f>
        <v>4</v>
      </c>
      <c r="D8" s="3">
        <f t="shared" si="0"/>
        <v>4</v>
      </c>
      <c r="E8" s="3">
        <f>B8+C8+D8</f>
        <v>12</v>
      </c>
    </row>
    <row r="9" spans="1:6" x14ac:dyDescent="0.35">
      <c r="A9" s="3" t="s">
        <v>102</v>
      </c>
      <c r="B9" s="3">
        <f>ASSUMPTIONS!B52</f>
        <v>3</v>
      </c>
      <c r="C9" s="3">
        <f t="shared" ref="C9:D9" si="1">B9</f>
        <v>3</v>
      </c>
      <c r="D9" s="3">
        <f t="shared" si="1"/>
        <v>3</v>
      </c>
      <c r="E9" s="3">
        <f>B9+C9+D9</f>
        <v>9</v>
      </c>
    </row>
    <row r="10" spans="1:6" x14ac:dyDescent="0.35">
      <c r="A10" s="3" t="s">
        <v>103</v>
      </c>
      <c r="B10" s="3">
        <f>B7+B8+B9</f>
        <v>12</v>
      </c>
      <c r="C10" s="3">
        <f>C7+C8+C9</f>
        <v>12</v>
      </c>
      <c r="D10" s="3">
        <f>D7+D8+D9</f>
        <v>12</v>
      </c>
      <c r="E10" s="3">
        <f>B10+C10+D10</f>
        <v>36</v>
      </c>
    </row>
    <row r="12" spans="1:6" x14ac:dyDescent="0.35">
      <c r="A12" s="24" t="s">
        <v>104</v>
      </c>
    </row>
    <row r="13" spans="1:6" x14ac:dyDescent="0.35">
      <c r="A13" s="3" t="s">
        <v>105</v>
      </c>
      <c r="B13" s="3">
        <f>ACTUALS!F6+B7</f>
        <v>263</v>
      </c>
      <c r="C13" s="3">
        <f>B13+C7</f>
        <v>268</v>
      </c>
      <c r="D13" s="3">
        <f>C13+D7</f>
        <v>273</v>
      </c>
    </row>
    <row r="14" spans="1:6" x14ac:dyDescent="0.35">
      <c r="A14" s="3" t="s">
        <v>106</v>
      </c>
      <c r="B14" s="3">
        <f>ACTUALS!F7+B8</f>
        <v>114</v>
      </c>
      <c r="C14" s="3">
        <f t="shared" ref="C14:C16" si="2">B14+C8</f>
        <v>118</v>
      </c>
      <c r="D14" s="3">
        <f t="shared" ref="D14:D16" si="3">C14+D8</f>
        <v>122</v>
      </c>
    </row>
    <row r="15" spans="1:6" x14ac:dyDescent="0.35">
      <c r="A15" s="3" t="s">
        <v>107</v>
      </c>
      <c r="B15" s="3">
        <f>ACTUALS!F8+B9</f>
        <v>114</v>
      </c>
      <c r="C15" s="3">
        <f t="shared" si="2"/>
        <v>117</v>
      </c>
      <c r="D15" s="3">
        <f t="shared" si="3"/>
        <v>120</v>
      </c>
    </row>
    <row r="16" spans="1:6" x14ac:dyDescent="0.35">
      <c r="A16" s="3" t="s">
        <v>13</v>
      </c>
      <c r="B16" s="3">
        <f>ACTUALS!F9+B10</f>
        <v>491</v>
      </c>
      <c r="C16" s="3">
        <f t="shared" si="2"/>
        <v>503</v>
      </c>
      <c r="D16" s="3">
        <f t="shared" si="3"/>
        <v>515</v>
      </c>
    </row>
    <row r="18" spans="1:5" x14ac:dyDescent="0.35">
      <c r="A18" s="24" t="s">
        <v>108</v>
      </c>
    </row>
    <row r="19" spans="1:5" x14ac:dyDescent="0.35">
      <c r="A19" s="3" t="s">
        <v>110</v>
      </c>
      <c r="B19" s="10">
        <f>(B7*ASSUMPTIONS!$B$65)</f>
        <v>15000000</v>
      </c>
      <c r="C19" s="10">
        <f>(C7*ASSUMPTIONS!$B$65)</f>
        <v>15000000</v>
      </c>
      <c r="D19" s="10">
        <f>(D7*ASSUMPTIONS!$B$65)</f>
        <v>15000000</v>
      </c>
      <c r="E19" s="10">
        <f>B19+C19+D19</f>
        <v>45000000</v>
      </c>
    </row>
    <row r="20" spans="1:5" x14ac:dyDescent="0.35">
      <c r="A20" s="3" t="s">
        <v>111</v>
      </c>
      <c r="B20" s="10">
        <f>(B8*ASSUMPTIONS!$B$65)</f>
        <v>12000000</v>
      </c>
      <c r="C20" s="10">
        <f>(C8*ASSUMPTIONS!$B$65)</f>
        <v>12000000</v>
      </c>
      <c r="D20" s="10">
        <f>(D8*ASSUMPTIONS!$B$65)</f>
        <v>12000000</v>
      </c>
      <c r="E20" s="10">
        <f t="shared" ref="E20:E21" si="4">B20+C20+D20</f>
        <v>36000000</v>
      </c>
    </row>
    <row r="21" spans="1:5" x14ac:dyDescent="0.35">
      <c r="A21" s="3" t="s">
        <v>112</v>
      </c>
      <c r="B21" s="10">
        <f>(B9*ASSUMPTIONS!$B$65)</f>
        <v>9000000</v>
      </c>
      <c r="C21" s="10">
        <f>(C9*ASSUMPTIONS!$B$65)</f>
        <v>9000000</v>
      </c>
      <c r="D21" s="10">
        <f>(D9*ASSUMPTIONS!$B$65)</f>
        <v>9000000</v>
      </c>
      <c r="E21" s="10">
        <f t="shared" si="4"/>
        <v>27000000</v>
      </c>
    </row>
    <row r="22" spans="1:5" x14ac:dyDescent="0.35">
      <c r="A22" s="3" t="s">
        <v>113</v>
      </c>
      <c r="B22" s="10">
        <f>((B19+B20+B21))</f>
        <v>36000000</v>
      </c>
      <c r="C22" s="10">
        <f t="shared" ref="C22:E22" si="5">((C19+C20+C21))</f>
        <v>36000000</v>
      </c>
      <c r="D22" s="10">
        <f t="shared" si="5"/>
        <v>36000000</v>
      </c>
      <c r="E22" s="10">
        <f t="shared" si="5"/>
        <v>108000000</v>
      </c>
    </row>
    <row r="23" spans="1:5" x14ac:dyDescent="0.35">
      <c r="A23" s="3" t="s">
        <v>114</v>
      </c>
      <c r="B23" s="10">
        <f>(B10*ASSUMPTIONS!$B$66)</f>
        <v>14400000</v>
      </c>
      <c r="C23" s="10">
        <f>(C10*ASSUMPTIONS!$B$66)</f>
        <v>14400000</v>
      </c>
      <c r="D23" s="10">
        <f>(D10*ASSUMPTIONS!$B$66)</f>
        <v>14400000</v>
      </c>
      <c r="E23" s="10">
        <f>B23+C23+D23</f>
        <v>43200000</v>
      </c>
    </row>
    <row r="24" spans="1:5" x14ac:dyDescent="0.35">
      <c r="A24" s="3" t="s">
        <v>115</v>
      </c>
      <c r="B24" s="10">
        <f>B22+B23</f>
        <v>50400000</v>
      </c>
      <c r="C24" s="10">
        <f t="shared" ref="C24:D24" si="6">C22+C23</f>
        <v>50400000</v>
      </c>
      <c r="D24" s="10">
        <f t="shared" si="6"/>
        <v>50400000</v>
      </c>
      <c r="E24" s="10">
        <f>B24+C24+D24</f>
        <v>151200000</v>
      </c>
    </row>
    <row r="26" spans="1:5" x14ac:dyDescent="0.35">
      <c r="A26" s="24" t="s">
        <v>109</v>
      </c>
    </row>
    <row r="27" spans="1:5" x14ac:dyDescent="0.35">
      <c r="A27" s="32" t="s">
        <v>162</v>
      </c>
      <c r="B27" s="53">
        <f>REVENUE!C14</f>
        <v>77586363.045449138</v>
      </c>
      <c r="C27" s="56">
        <f>REVENUE!D14</f>
        <v>80740629.115341991</v>
      </c>
      <c r="D27" s="41">
        <f>REVENUE!E14</f>
        <v>84023131.566592857</v>
      </c>
    </row>
    <row r="28" spans="1:5" x14ac:dyDescent="0.35">
      <c r="A28" s="32" t="s">
        <v>163</v>
      </c>
      <c r="B28" s="54">
        <f>REVENUE!C15</f>
        <v>103448484.06059887</v>
      </c>
      <c r="C28" s="53">
        <f>REVENUE!D15</f>
        <v>107654172.15378934</v>
      </c>
      <c r="D28" s="56">
        <f>REVENUE!E15</f>
        <v>112030842.08879049</v>
      </c>
    </row>
    <row r="29" spans="1:5" x14ac:dyDescent="0.35">
      <c r="A29" s="32" t="s">
        <v>164</v>
      </c>
      <c r="B29" s="55">
        <f>REVENUE!C16</f>
        <v>102370895.68496762</v>
      </c>
      <c r="C29" s="54">
        <f>REVENUE!D16</f>
        <v>127839329.43262482</v>
      </c>
      <c r="D29" s="53">
        <f>REVENUE!E16</f>
        <v>133036624.98043869</v>
      </c>
    </row>
    <row r="30" spans="1:5" ht="15" thickBot="1" x14ac:dyDescent="0.4">
      <c r="A30" s="32" t="s">
        <v>165</v>
      </c>
      <c r="B30" s="41">
        <f>REVENUE!C17</f>
        <v>96982953.806811437</v>
      </c>
      <c r="C30" s="55">
        <f>REVENUE!D17</f>
        <v>112139762.66019723</v>
      </c>
      <c r="D30" s="54">
        <f>REVENUE!E17</f>
        <v>140038552.61098811</v>
      </c>
    </row>
    <row r="31" spans="1:5" ht="15" thickBot="1" x14ac:dyDescent="0.4">
      <c r="A31" s="34" t="s">
        <v>120</v>
      </c>
      <c r="B31" s="35">
        <f>SUM(B27:B30)</f>
        <v>380388696.59782708</v>
      </c>
      <c r="C31" s="35">
        <f>SUM(C27:C30)</f>
        <v>428373893.36195338</v>
      </c>
      <c r="D31" s="36">
        <f>SUM(D27:D30)</f>
        <v>469129151.2468102</v>
      </c>
    </row>
    <row r="33" spans="1:4" x14ac:dyDescent="0.35">
      <c r="A33" s="5" t="s">
        <v>151</v>
      </c>
    </row>
    <row r="34" spans="1:4" x14ac:dyDescent="0.35">
      <c r="A34" s="3" t="s">
        <v>152</v>
      </c>
      <c r="B34" s="3">
        <v>-1</v>
      </c>
      <c r="C34" s="3">
        <v>-1</v>
      </c>
      <c r="D34" s="3">
        <v>-1</v>
      </c>
    </row>
    <row r="35" spans="1:4" x14ac:dyDescent="0.35">
      <c r="A35" s="3" t="s">
        <v>153</v>
      </c>
      <c r="B35" s="3">
        <v>-1</v>
      </c>
      <c r="C35" s="3">
        <v>-1</v>
      </c>
      <c r="D35" s="3">
        <v>-1</v>
      </c>
    </row>
    <row r="36" spans="1:4" x14ac:dyDescent="0.35">
      <c r="A36" s="3" t="s">
        <v>154</v>
      </c>
      <c r="B36" s="3">
        <v>-1</v>
      </c>
      <c r="C36" s="3">
        <v>-1</v>
      </c>
      <c r="D36" s="3">
        <v>-1</v>
      </c>
    </row>
    <row r="37" spans="1:4" x14ac:dyDescent="0.35">
      <c r="A37" s="3" t="s">
        <v>155</v>
      </c>
      <c r="B37" s="3">
        <f>SUM(B34:B36)</f>
        <v>-3</v>
      </c>
      <c r="C37" s="3">
        <f t="shared" ref="C37:D37" si="7">SUM(C34:C36)</f>
        <v>-3</v>
      </c>
      <c r="D37" s="3">
        <f t="shared" si="7"/>
        <v>-3</v>
      </c>
    </row>
    <row r="39" spans="1:4" x14ac:dyDescent="0.35">
      <c r="A39" s="5" t="s">
        <v>156</v>
      </c>
    </row>
    <row r="40" spans="1:4" x14ac:dyDescent="0.35">
      <c r="A40" s="3" t="s">
        <v>105</v>
      </c>
      <c r="B40" s="3">
        <f t="shared" ref="B40:D42" si="8">B13+B34</f>
        <v>262</v>
      </c>
      <c r="C40" s="3">
        <f t="shared" si="8"/>
        <v>267</v>
      </c>
      <c r="D40" s="3">
        <f t="shared" si="8"/>
        <v>272</v>
      </c>
    </row>
    <row r="41" spans="1:4" x14ac:dyDescent="0.35">
      <c r="A41" s="3" t="s">
        <v>106</v>
      </c>
      <c r="B41" s="3">
        <f t="shared" si="8"/>
        <v>113</v>
      </c>
      <c r="C41" s="3">
        <f t="shared" si="8"/>
        <v>117</v>
      </c>
      <c r="D41" s="3">
        <f t="shared" si="8"/>
        <v>121</v>
      </c>
    </row>
    <row r="42" spans="1:4" x14ac:dyDescent="0.35">
      <c r="A42" s="3" t="s">
        <v>107</v>
      </c>
      <c r="B42" s="3">
        <f t="shared" si="8"/>
        <v>113</v>
      </c>
      <c r="C42" s="3">
        <f t="shared" si="8"/>
        <v>116</v>
      </c>
      <c r="D42" s="3">
        <f t="shared" si="8"/>
        <v>119</v>
      </c>
    </row>
    <row r="43" spans="1:4" x14ac:dyDescent="0.35">
      <c r="A43" s="3" t="s">
        <v>159</v>
      </c>
      <c r="B43" s="3">
        <f>SUM(B40:B42)</f>
        <v>488</v>
      </c>
      <c r="C43" s="3">
        <f t="shared" ref="C43:D43" si="9">SUM(C40:C42)</f>
        <v>500</v>
      </c>
      <c r="D43" s="3">
        <f t="shared" si="9"/>
        <v>512</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6350F-F07A-40B8-868D-ACA2DB14FD05}">
  <sheetPr>
    <tabColor rgb="FFFFFF00"/>
  </sheetPr>
  <dimension ref="A1:H28"/>
  <sheetViews>
    <sheetView workbookViewId="0">
      <pane ySplit="4" topLeftCell="A5" activePane="bottomLeft" state="frozen"/>
      <selection pane="bottomLeft" activeCell="B21" sqref="B21"/>
    </sheetView>
  </sheetViews>
  <sheetFormatPr defaultRowHeight="14.5" x14ac:dyDescent="0.35"/>
  <cols>
    <col min="1" max="1" width="35.6328125" bestFit="1" customWidth="1"/>
    <col min="2" max="6" width="16.08984375" bestFit="1" customWidth="1"/>
  </cols>
  <sheetData>
    <row r="1" spans="1:8" x14ac:dyDescent="0.35">
      <c r="A1" s="68" t="s">
        <v>122</v>
      </c>
      <c r="B1" s="68"/>
      <c r="C1" s="68"/>
      <c r="D1" s="33"/>
      <c r="E1" s="62" t="s">
        <v>91</v>
      </c>
      <c r="F1" s="33"/>
      <c r="H1" t="s">
        <v>166</v>
      </c>
    </row>
    <row r="2" spans="1:8" x14ac:dyDescent="0.35">
      <c r="E2" s="61" t="str">
        <f>ASSUMPTIONS!B44</f>
        <v>Base</v>
      </c>
      <c r="H2" t="s">
        <v>167</v>
      </c>
    </row>
    <row r="3" spans="1:8" x14ac:dyDescent="0.35">
      <c r="E3" s="3"/>
      <c r="H3" t="s">
        <v>168</v>
      </c>
    </row>
    <row r="4" spans="1:8" ht="15.5" customHeight="1" x14ac:dyDescent="0.35">
      <c r="A4" s="14" t="s">
        <v>123</v>
      </c>
      <c r="B4" s="14" t="s">
        <v>124</v>
      </c>
      <c r="C4" s="14" t="s">
        <v>95</v>
      </c>
      <c r="D4" s="14" t="s">
        <v>96</v>
      </c>
      <c r="E4" s="14" t="s">
        <v>97</v>
      </c>
      <c r="F4" s="14" t="s">
        <v>125</v>
      </c>
    </row>
    <row r="6" spans="1:8" x14ac:dyDescent="0.35">
      <c r="A6" s="24" t="s">
        <v>126</v>
      </c>
    </row>
    <row r="7" spans="1:8" x14ac:dyDescent="0.35">
      <c r="A7" s="3" t="s">
        <v>135</v>
      </c>
      <c r="B7" s="10">
        <f>(ACTUALS!C6-(ACTUALS!C$10/3))*ACTUALS!$F$18</f>
        <v>2495532359.0814199</v>
      </c>
      <c r="C7" s="10">
        <f>(ACTUALS!D6-(ACTUALS!D$10/3))*ASSUMPTIONS!$G$6</f>
        <v>2636499559.0444293</v>
      </c>
      <c r="D7" s="10">
        <f>(ACTUALS!E6-(ACTUALS!E$10/3))*ASSUMPTIONS!$H$6</f>
        <v>2792280090.2389107</v>
      </c>
      <c r="E7" s="10">
        <f>(ACTUALS!F6-(ACTUALS!F$10/3))*ASSUMPTIONS!$I$6</f>
        <v>2964149363.5992484</v>
      </c>
      <c r="F7" s="10">
        <f>E7</f>
        <v>2964149363.5992484</v>
      </c>
    </row>
    <row r="8" spans="1:8" x14ac:dyDescent="0.35">
      <c r="A8" s="3" t="s">
        <v>136</v>
      </c>
      <c r="B8" s="10">
        <f>(ACTUALS!C7-(ACTUALS!C$10/3))*ACTUALS!$F$18</f>
        <v>1014780793.3194156</v>
      </c>
      <c r="C8" s="10">
        <f>(ACTUALS!D7-(ACTUALS!D$10/3))*ASSUMPTIONS!$G$6</f>
        <v>1084772298.1354465</v>
      </c>
      <c r="D8" s="10">
        <f>(ACTUALS!E7-(ACTUALS!E$10/3))*ASSUMPTIONS!$H$6</f>
        <v>1155039555.4000313</v>
      </c>
      <c r="E8" s="10">
        <f>(ACTUALS!F7-(ACTUALS!F$10/3))*ASSUMPTIONS!$I$6</f>
        <v>1237007214.7303951</v>
      </c>
      <c r="F8" s="10">
        <f t="shared" ref="F8:F10" si="0">E8</f>
        <v>1237007214.7303951</v>
      </c>
    </row>
    <row r="9" spans="1:8" x14ac:dyDescent="0.35">
      <c r="A9" s="3" t="s">
        <v>137</v>
      </c>
      <c r="B9" s="10">
        <f>(ACTUALS!C8-(ACTUALS!C$10/3))*ACTUALS!$F$18</f>
        <v>1004425887.2651358</v>
      </c>
      <c r="C9" s="10">
        <f>(ACTUALS!D8-(ACTUALS!D$10/3))*ASSUMPTIONS!$G$6</f>
        <v>1073996414.3791342</v>
      </c>
      <c r="D9" s="10">
        <f>(ACTUALS!E8-(ACTUALS!E$10/3))*ASSUMPTIONS!$H$6</f>
        <v>1155039555.4000313</v>
      </c>
      <c r="E9" s="10">
        <f>(ACTUALS!F8-(ACTUALS!F$10/3))*ASSUMPTIONS!$I$6</f>
        <v>1248677094.1146441</v>
      </c>
      <c r="F9" s="10">
        <f t="shared" si="0"/>
        <v>1248677094.1146441</v>
      </c>
    </row>
    <row r="10" spans="1:8" x14ac:dyDescent="0.35">
      <c r="A10" s="3" t="s">
        <v>138</v>
      </c>
      <c r="B10" s="10">
        <f>SUM(B7:B9)</f>
        <v>4514739039.6659718</v>
      </c>
      <c r="C10" s="10">
        <f t="shared" ref="C10:E10" si="1">SUM(C7:C9)</f>
        <v>4795268271.5590096</v>
      </c>
      <c r="D10" s="10">
        <f t="shared" si="1"/>
        <v>5102359201.0389729</v>
      </c>
      <c r="E10" s="10">
        <f t="shared" si="1"/>
        <v>5449833672.4442873</v>
      </c>
      <c r="F10" s="10">
        <f t="shared" si="0"/>
        <v>5449833672.4442873</v>
      </c>
    </row>
    <row r="11" spans="1:8" x14ac:dyDescent="0.35">
      <c r="A11" s="3" t="s">
        <v>127</v>
      </c>
      <c r="B11" s="11" t="s">
        <v>16</v>
      </c>
      <c r="C11" s="12">
        <f>((C10-B10)/B10)</f>
        <v>6.2136311629164082E-2</v>
      </c>
      <c r="D11" s="12">
        <f t="shared" ref="D11:E11" si="2">((D10-C10)/C10)</f>
        <v>6.404040651934656E-2</v>
      </c>
      <c r="E11" s="12">
        <f t="shared" si="2"/>
        <v>6.8100746677058649E-2</v>
      </c>
      <c r="F11" s="37">
        <f>((E10-B10)/B10)</f>
        <v>0.2071204170523884</v>
      </c>
    </row>
    <row r="13" spans="1:8" x14ac:dyDescent="0.35">
      <c r="A13" s="24" t="s">
        <v>128</v>
      </c>
    </row>
    <row r="14" spans="1:8" x14ac:dyDescent="0.35">
      <c r="A14" s="3" t="s">
        <v>147</v>
      </c>
      <c r="B14" s="45">
        <f>(ACTUALS!F18*ACTUALS!F10)*ASSUMPTIONS!B54</f>
        <v>74555323.590814188</v>
      </c>
      <c r="C14" s="51">
        <f>(ASSUMPTIONS!G6*'STORE PLAN'!B10)*ASSUMPTIONS!B54</f>
        <v>77586363.045449138</v>
      </c>
      <c r="D14" s="52">
        <f>(('STORE PLAN'!C10*ASSUMPTIONS!H6)*ASSUMPTIONS!B54)</f>
        <v>80740629.115341991</v>
      </c>
      <c r="E14" s="44">
        <f>('STORE PLAN'!D10*ASSUMPTIONS!I6)*ASSUMPTIONS!B54</f>
        <v>84023131.566592857</v>
      </c>
      <c r="F14" s="40"/>
    </row>
    <row r="15" spans="1:8" x14ac:dyDescent="0.35">
      <c r="A15" s="3" t="s">
        <v>148</v>
      </c>
      <c r="B15" s="47">
        <f>(ACTUALS!D10*ACTUALS!F18)*ASSUMPTIONS!B55</f>
        <v>82839248.434238017</v>
      </c>
      <c r="C15" s="46">
        <f>(ACTUALS!F10*ASSUMPTIONS!G6)*ASSUMPTIONS!B55</f>
        <v>103448484.06059887</v>
      </c>
      <c r="D15" s="51">
        <f>(ASSUMPTIONS!H6*'STORE PLAN'!B10)*ASSUMPTIONS!B55</f>
        <v>107654172.15378934</v>
      </c>
      <c r="E15" s="52">
        <f>(('STORE PLAN'!C10*ASSUMPTIONS!I6)*ASSUMPTIONS!B55)</f>
        <v>112030842.08879049</v>
      </c>
      <c r="F15" s="31"/>
    </row>
    <row r="16" spans="1:8" x14ac:dyDescent="0.35">
      <c r="A16" s="3" t="s">
        <v>149</v>
      </c>
      <c r="B16" s="49">
        <f>(ACTUALS!C10*ACTUALS!F18)*ASSUMPTIONS!B56</f>
        <v>88534446.764091849</v>
      </c>
      <c r="C16" s="48">
        <f>(ACTUALS!D10*ASSUMPTIONS!G6)*ASSUMPTIONS!B56</f>
        <v>102370895.68496762</v>
      </c>
      <c r="D16" s="46">
        <f>(ACTUALS!F10*ASSUMPTIONS!H6)*ASSUMPTIONS!B56</f>
        <v>127839329.43262482</v>
      </c>
      <c r="E16" s="51">
        <f>(ASSUMPTIONS!I6*'STORE PLAN'!B10)*ASSUMPTIONS!B56</f>
        <v>133036624.98043869</v>
      </c>
      <c r="F16" s="31"/>
    </row>
    <row r="17" spans="1:6" ht="15" thickBot="1" x14ac:dyDescent="0.4">
      <c r="A17" s="3" t="s">
        <v>150</v>
      </c>
      <c r="B17" s="30">
        <f>(ACTUALS!B10*ACTUALS!F18)*ASSUMPTIONS!B57</f>
        <v>72484342.379958257</v>
      </c>
      <c r="C17" s="50">
        <f>(ACTUALS!C10*ASSUMPTIONS!G6)*ASSUMPTIONS!B57</f>
        <v>96982953.806811437</v>
      </c>
      <c r="D17" s="48">
        <f>(ACTUALS!D10*ASSUMPTIONS!H6)*ASSUMPTIONS!B57</f>
        <v>112139762.66019723</v>
      </c>
      <c r="E17" s="46">
        <f>(ACTUALS!F10*ASSUMPTIONS!I6)*ASSUMPTIONS!B57</f>
        <v>140038552.61098811</v>
      </c>
      <c r="F17" s="31"/>
    </row>
    <row r="18" spans="1:6" ht="15" thickBot="1" x14ac:dyDescent="0.4">
      <c r="A18" s="34" t="s">
        <v>139</v>
      </c>
      <c r="B18" s="35">
        <f>SUM(B14:B17)</f>
        <v>318413361.16910231</v>
      </c>
      <c r="C18" s="35">
        <f>SUM(C14:C17)</f>
        <v>380388696.59782708</v>
      </c>
      <c r="D18" s="35">
        <f>SUM(D14:D17)</f>
        <v>428373893.36195338</v>
      </c>
      <c r="E18" s="36">
        <f>SUM(E14:E17)</f>
        <v>469129151.2468102</v>
      </c>
    </row>
    <row r="20" spans="1:6" x14ac:dyDescent="0.35">
      <c r="A20" s="24" t="s">
        <v>129</v>
      </c>
      <c r="F20" s="31"/>
    </row>
    <row r="21" spans="1:6" x14ac:dyDescent="0.35">
      <c r="A21" s="3" t="s">
        <v>140</v>
      </c>
      <c r="B21" s="10">
        <f>SUM(B10+B18)</f>
        <v>4833152400.8350744</v>
      </c>
      <c r="C21" s="10">
        <f t="shared" ref="C21:E21" si="3">SUM(C10+C18)</f>
        <v>5175656968.1568365</v>
      </c>
      <c r="D21" s="10">
        <f t="shared" si="3"/>
        <v>5530733094.4009266</v>
      </c>
      <c r="E21" s="10">
        <f t="shared" si="3"/>
        <v>5918962823.6910973</v>
      </c>
    </row>
    <row r="22" spans="1:6" x14ac:dyDescent="0.35">
      <c r="A22" s="3" t="s">
        <v>130</v>
      </c>
      <c r="B22" s="11" t="s">
        <v>16</v>
      </c>
      <c r="C22" s="39">
        <f>((C21-B21)/B21)</f>
        <v>7.0865666735976288E-2</v>
      </c>
      <c r="D22" s="39">
        <f t="shared" ref="D22:E22" si="4">((D21-C21)/C21)</f>
        <v>6.8605034767313874E-2</v>
      </c>
      <c r="E22" s="39">
        <f t="shared" si="4"/>
        <v>7.0194985486317821E-2</v>
      </c>
    </row>
    <row r="23" spans="1:6" x14ac:dyDescent="0.35">
      <c r="A23" s="3" t="s">
        <v>131</v>
      </c>
      <c r="B23" s="39">
        <f>B10/B21</f>
        <v>0.93411890733797531</v>
      </c>
      <c r="C23" s="39">
        <f t="shared" ref="C23:E23" si="5">C10/C21</f>
        <v>0.92650426816572973</v>
      </c>
      <c r="D23" s="39">
        <f t="shared" si="5"/>
        <v>0.92254663422546623</v>
      </c>
      <c r="E23" s="39">
        <f t="shared" si="5"/>
        <v>0.9207413249211357</v>
      </c>
    </row>
    <row r="24" spans="1:6" x14ac:dyDescent="0.35">
      <c r="A24" s="3" t="s">
        <v>132</v>
      </c>
      <c r="B24" s="4">
        <f>1-B23</f>
        <v>6.5881092662024687E-2</v>
      </c>
      <c r="C24" s="4">
        <f t="shared" ref="C24:E24" si="6">1-C23</f>
        <v>7.3495731834270273E-2</v>
      </c>
      <c r="D24" s="4">
        <f t="shared" si="6"/>
        <v>7.7453365774533767E-2</v>
      </c>
      <c r="E24" s="4">
        <f t="shared" si="6"/>
        <v>7.9258675078864305E-2</v>
      </c>
    </row>
    <row r="25" spans="1:6" x14ac:dyDescent="0.35">
      <c r="A25" s="3" t="s">
        <v>19</v>
      </c>
      <c r="B25" s="12">
        <v>0.02</v>
      </c>
      <c r="C25" s="12">
        <v>0.03</v>
      </c>
      <c r="D25" s="12">
        <v>0.03</v>
      </c>
      <c r="E25" s="12">
        <v>0.03</v>
      </c>
    </row>
    <row r="26" spans="1:6" x14ac:dyDescent="0.35">
      <c r="A26" s="3" t="s">
        <v>41</v>
      </c>
      <c r="B26" s="10">
        <f>ACTUALS!F18</f>
        <v>10354906.05427975</v>
      </c>
      <c r="C26" s="10">
        <f>ASSUMPTIONS!G6</f>
        <v>10775883.756312381</v>
      </c>
      <c r="D26" s="10">
        <f>ASSUMPTIONS!H6</f>
        <v>11213976.266019722</v>
      </c>
      <c r="E26" s="10">
        <f>ASSUMPTIONS!I6</f>
        <v>11669879.384249009</v>
      </c>
    </row>
    <row r="27" spans="1:6" x14ac:dyDescent="0.35">
      <c r="A27" s="3" t="s">
        <v>133</v>
      </c>
      <c r="B27" s="3">
        <f>ACTUALS!F9</f>
        <v>479</v>
      </c>
      <c r="C27" s="3">
        <f>'STORE PLAN'!B43</f>
        <v>488</v>
      </c>
      <c r="D27" s="3">
        <f>'STORE PLAN'!C43</f>
        <v>500</v>
      </c>
      <c r="E27" s="3">
        <f>'STORE PLAN'!D43</f>
        <v>512</v>
      </c>
    </row>
    <row r="28" spans="1:6" x14ac:dyDescent="0.35">
      <c r="A28" s="3" t="s">
        <v>134</v>
      </c>
      <c r="B28" s="10">
        <f>B21/(B27*ASSUMPTIONS!$B$70)</f>
        <v>420.42035497869472</v>
      </c>
      <c r="C28" s="10">
        <f>C21/(C27*ASSUMPTIONS!$B$70)</f>
        <v>441.91060178934737</v>
      </c>
      <c r="D28" s="10">
        <f>D21/(D27*ASSUMPTIONS!$B$70)</f>
        <v>460.89442453341053</v>
      </c>
      <c r="E28" s="10">
        <f>E21/(E27*ASSUMPTIONS!$B$70)</f>
        <v>481.68642770923645</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4B755-6FC1-4ACA-B5F3-B999BD406213}">
  <sheetPr>
    <tabColor rgb="FF00B050"/>
  </sheetPr>
  <dimension ref="A1:F39"/>
  <sheetViews>
    <sheetView workbookViewId="0">
      <pane ySplit="4" topLeftCell="A14" activePane="bottomLeft" state="frozen"/>
      <selection pane="bottomLeft" activeCell="H13" sqref="H13"/>
    </sheetView>
  </sheetViews>
  <sheetFormatPr defaultRowHeight="14.5" x14ac:dyDescent="0.35"/>
  <cols>
    <col min="1" max="1" width="33.81640625" bestFit="1" customWidth="1"/>
    <col min="2" max="5" width="16.08984375" bestFit="1" customWidth="1"/>
    <col min="6" max="6" width="16.90625" customWidth="1"/>
  </cols>
  <sheetData>
    <row r="1" spans="1:6" x14ac:dyDescent="0.35">
      <c r="A1" s="63" t="s">
        <v>170</v>
      </c>
      <c r="B1" s="63"/>
      <c r="C1" s="33"/>
      <c r="D1" s="33"/>
      <c r="E1" s="62" t="s">
        <v>91</v>
      </c>
      <c r="F1" s="33"/>
    </row>
    <row r="2" spans="1:6" x14ac:dyDescent="0.35">
      <c r="E2" s="61" t="str">
        <f>ASSUMPTIONS!B44</f>
        <v>Base</v>
      </c>
    </row>
    <row r="3" spans="1:6" x14ac:dyDescent="0.35">
      <c r="E3" s="3"/>
    </row>
    <row r="4" spans="1:6" x14ac:dyDescent="0.35">
      <c r="A4" s="14" t="s">
        <v>171</v>
      </c>
      <c r="B4" s="14" t="s">
        <v>124</v>
      </c>
      <c r="C4" s="14" t="s">
        <v>95</v>
      </c>
      <c r="D4" s="14" t="s">
        <v>96</v>
      </c>
      <c r="E4" s="14" t="s">
        <v>97</v>
      </c>
      <c r="F4" s="14" t="s">
        <v>172</v>
      </c>
    </row>
    <row r="6" spans="1:6" x14ac:dyDescent="0.35">
      <c r="A6" s="5" t="s">
        <v>17</v>
      </c>
    </row>
    <row r="7" spans="1:6" x14ac:dyDescent="0.35">
      <c r="A7" s="3" t="s">
        <v>35</v>
      </c>
      <c r="B7" s="10">
        <f>REVENUE!B21</f>
        <v>4833152400.8350744</v>
      </c>
      <c r="C7" s="10">
        <f>REVENUE!C21</f>
        <v>5175656968.1568365</v>
      </c>
      <c r="D7" s="10">
        <f>REVENUE!D21</f>
        <v>5530733094.4009266</v>
      </c>
      <c r="E7" s="10">
        <f>REVENUE!E21</f>
        <v>5918962823.6910973</v>
      </c>
      <c r="F7" s="10">
        <f>E7-B7</f>
        <v>1085810422.8560228</v>
      </c>
    </row>
    <row r="8" spans="1:6" x14ac:dyDescent="0.35">
      <c r="A8" s="3" t="s">
        <v>18</v>
      </c>
      <c r="B8" s="11" t="s">
        <v>16</v>
      </c>
      <c r="C8" s="39">
        <f>((C7-B7)/B7)</f>
        <v>7.0865666735976288E-2</v>
      </c>
      <c r="D8" s="39">
        <f t="shared" ref="D8:E8" si="0">((D7-C7)/C7)</f>
        <v>6.8605034767313874E-2</v>
      </c>
      <c r="E8" s="39">
        <f t="shared" si="0"/>
        <v>7.0194985486317821E-2</v>
      </c>
      <c r="F8" s="3"/>
    </row>
    <row r="10" spans="1:6" x14ac:dyDescent="0.35">
      <c r="A10" s="5" t="s">
        <v>173</v>
      </c>
    </row>
    <row r="11" spans="1:6" x14ac:dyDescent="0.35">
      <c r="A11" s="3" t="s">
        <v>169</v>
      </c>
      <c r="B11" s="10">
        <f>B7*(1-ASSUMPTIONS!$B$58)</f>
        <v>2667900125.2609615</v>
      </c>
      <c r="C11" s="10">
        <f>C7*(1-ASSUMPTIONS!$B$58)</f>
        <v>2856962646.422574</v>
      </c>
      <c r="D11" s="10">
        <f>D7*(1-ASSUMPTIONS!$B$58)</f>
        <v>3052964668.1093116</v>
      </c>
      <c r="E11" s="10">
        <f>E7*(1-ASSUMPTIONS!$B$58)</f>
        <v>3267267478.6774859</v>
      </c>
      <c r="F11" s="10">
        <f>E11-B11</f>
        <v>599367353.41652441</v>
      </c>
    </row>
    <row r="12" spans="1:6" x14ac:dyDescent="0.35">
      <c r="A12" s="3" t="s">
        <v>184</v>
      </c>
      <c r="B12" s="10">
        <f>B7*ASSUMPTIONS!$B$59</f>
        <v>67664133.611691043</v>
      </c>
      <c r="C12" s="10">
        <f>C7*ASSUMPTIONS!$B$59</f>
        <v>72459197.554195717</v>
      </c>
      <c r="D12" s="10">
        <f>D7*ASSUMPTIONS!$B$59</f>
        <v>77430263.321612969</v>
      </c>
      <c r="E12" s="10">
        <f>E7*ASSUMPTIONS!$B$59</f>
        <v>82865479.531675369</v>
      </c>
      <c r="F12" s="10">
        <f t="shared" ref="F12:F15" si="1">E12-B12</f>
        <v>15201345.919984326</v>
      </c>
    </row>
    <row r="13" spans="1:6" x14ac:dyDescent="0.35">
      <c r="A13" s="3" t="s">
        <v>185</v>
      </c>
      <c r="B13" s="10">
        <f>B7*ASSUMPTIONS!$B$61</f>
        <v>96663048.01670149</v>
      </c>
      <c r="C13" s="10">
        <f>C7*ASSUMPTIONS!$B$61</f>
        <v>103513139.36313674</v>
      </c>
      <c r="D13" s="10">
        <f>D7*ASSUMPTIONS!$B$61</f>
        <v>110614661.88801853</v>
      </c>
      <c r="E13" s="10">
        <f>E7*ASSUMPTIONS!$B$61</f>
        <v>118379256.47382195</v>
      </c>
      <c r="F13" s="10">
        <f t="shared" si="1"/>
        <v>21716208.457120463</v>
      </c>
    </row>
    <row r="14" spans="1:6" x14ac:dyDescent="0.35">
      <c r="A14" s="3" t="s">
        <v>186</v>
      </c>
      <c r="B14" s="10">
        <f>B7*ASSUMPTIONS!$B$62</f>
        <v>386652192.06680596</v>
      </c>
      <c r="C14" s="10">
        <f>C7*ASSUMPTIONS!$B$62</f>
        <v>414052557.45254695</v>
      </c>
      <c r="D14" s="10">
        <f>D7*ASSUMPTIONS!$B$62</f>
        <v>442458647.55207413</v>
      </c>
      <c r="E14" s="10">
        <f>E7*ASSUMPTIONS!$B$62</f>
        <v>473517025.89528781</v>
      </c>
      <c r="F14" s="10">
        <f t="shared" si="1"/>
        <v>86864833.828481853</v>
      </c>
    </row>
    <row r="15" spans="1:6" x14ac:dyDescent="0.35">
      <c r="A15" s="3" t="s">
        <v>187</v>
      </c>
      <c r="B15" s="10">
        <f>B7*ASSUMPTIONS!$B$73</f>
        <v>115995657.62004179</v>
      </c>
      <c r="C15" s="10">
        <f>C7*ASSUMPTIONS!$B$73</f>
        <v>124215767.23576409</v>
      </c>
      <c r="D15" s="10">
        <f>D7*ASSUMPTIONS!$B$73</f>
        <v>132737594.26562224</v>
      </c>
      <c r="E15" s="10">
        <f>E7*ASSUMPTIONS!$B$73</f>
        <v>142055107.76858634</v>
      </c>
      <c r="F15" s="10">
        <f t="shared" si="1"/>
        <v>26059450.14854455</v>
      </c>
    </row>
    <row r="16" spans="1:6" x14ac:dyDescent="0.35">
      <c r="A16" s="3" t="s">
        <v>188</v>
      </c>
      <c r="B16" s="10">
        <f>SUM(B11:B15)</f>
        <v>3334875156.5762019</v>
      </c>
      <c r="C16" s="10">
        <f t="shared" ref="C16:E16" si="2">SUM(C11:C15)</f>
        <v>3571203308.0282178</v>
      </c>
      <c r="D16" s="10">
        <f t="shared" si="2"/>
        <v>3816205835.1366391</v>
      </c>
      <c r="E16" s="10">
        <f t="shared" si="2"/>
        <v>4084084348.3468575</v>
      </c>
      <c r="F16" s="10">
        <f>E16-B16</f>
        <v>749209191.77065563</v>
      </c>
    </row>
    <row r="17" spans="1:6" x14ac:dyDescent="0.35">
      <c r="A17" s="3" t="s">
        <v>174</v>
      </c>
      <c r="B17" s="39">
        <f>B16/B7</f>
        <v>0.69000000000000017</v>
      </c>
      <c r="C17" s="39">
        <f t="shared" ref="C17:E17" si="3">C16/C7</f>
        <v>0.69000000000000017</v>
      </c>
      <c r="D17" s="39">
        <f t="shared" si="3"/>
        <v>0.69</v>
      </c>
      <c r="E17" s="39">
        <f t="shared" si="3"/>
        <v>0.69000000000000006</v>
      </c>
      <c r="F17" s="3"/>
    </row>
    <row r="19" spans="1:6" x14ac:dyDescent="0.35">
      <c r="A19" s="5" t="s">
        <v>175</v>
      </c>
    </row>
    <row r="20" spans="1:6" x14ac:dyDescent="0.35">
      <c r="A20" s="3" t="s">
        <v>37</v>
      </c>
      <c r="B20" s="10">
        <f>B7-B16</f>
        <v>1498277244.2588725</v>
      </c>
      <c r="C20" s="10">
        <f t="shared" ref="C20:E20" si="4">C7-C16</f>
        <v>1604453660.1286187</v>
      </c>
      <c r="D20" s="10">
        <f t="shared" si="4"/>
        <v>1714527259.2642875</v>
      </c>
      <c r="E20" s="10">
        <f t="shared" si="4"/>
        <v>1834878475.3442397</v>
      </c>
      <c r="F20" s="10">
        <f>E20-B20</f>
        <v>336601231.0853672</v>
      </c>
    </row>
    <row r="21" spans="1:6" x14ac:dyDescent="0.35">
      <c r="A21" s="3" t="s">
        <v>27</v>
      </c>
      <c r="B21" s="39">
        <f>B20/B7</f>
        <v>0.30999999999999989</v>
      </c>
      <c r="C21" s="39">
        <f t="shared" ref="C21:E21" si="5">C20/C7</f>
        <v>0.30999999999999989</v>
      </c>
      <c r="D21" s="39">
        <f t="shared" si="5"/>
        <v>0.31000000000000005</v>
      </c>
      <c r="E21" s="39">
        <f t="shared" si="5"/>
        <v>0.30999999999999994</v>
      </c>
      <c r="F21" s="3"/>
    </row>
    <row r="23" spans="1:6" x14ac:dyDescent="0.35">
      <c r="A23" s="5" t="s">
        <v>176</v>
      </c>
    </row>
    <row r="24" spans="1:6" x14ac:dyDescent="0.35">
      <c r="A24" s="3" t="s">
        <v>189</v>
      </c>
      <c r="B24" s="10">
        <f>'Profit &amp; Loss'!B7*ASSUMPTIONS!$B$63</f>
        <v>521980459.29018801</v>
      </c>
      <c r="C24" s="10">
        <f>'Profit &amp; Loss'!C7*ASSUMPTIONS!$B$63</f>
        <v>558970952.56093836</v>
      </c>
      <c r="D24" s="10">
        <f>'Profit &amp; Loss'!D7*ASSUMPTIONS!$B$63</f>
        <v>597319174.1953001</v>
      </c>
      <c r="E24" s="10">
        <f>'Profit &amp; Loss'!E7*ASSUMPTIONS!$B$63</f>
        <v>639247984.95863855</v>
      </c>
      <c r="F24" s="10">
        <f>E24-B24</f>
        <v>117267525.66845053</v>
      </c>
    </row>
    <row r="25" spans="1:6" x14ac:dyDescent="0.35">
      <c r="A25" s="3" t="s">
        <v>190</v>
      </c>
      <c r="B25" s="10">
        <f>B7*ASSUMPTIONS!$B$64</f>
        <v>323821210.85595</v>
      </c>
      <c r="C25" s="10">
        <f>C7*ASSUMPTIONS!$B$64</f>
        <v>346769016.86650807</v>
      </c>
      <c r="D25" s="10">
        <f>D7*ASSUMPTIONS!$B$64</f>
        <v>370559117.32486212</v>
      </c>
      <c r="E25" s="10">
        <f>E7*ASSUMPTIONS!$B$64</f>
        <v>396570509.18730354</v>
      </c>
      <c r="F25" s="10">
        <f t="shared" ref="F25:F26" si="6">E25-B25</f>
        <v>72749298.331353545</v>
      </c>
    </row>
    <row r="26" spans="1:6" x14ac:dyDescent="0.35">
      <c r="A26" s="3" t="s">
        <v>191</v>
      </c>
      <c r="B26" s="10">
        <f>SUM(B24:B25)</f>
        <v>845801670.14613795</v>
      </c>
      <c r="C26" s="10">
        <f t="shared" ref="C26:E26" si="7">SUM(C24:C25)</f>
        <v>905739969.42744637</v>
      </c>
      <c r="D26" s="10">
        <f t="shared" si="7"/>
        <v>967878291.52016222</v>
      </c>
      <c r="E26" s="10">
        <f t="shared" si="7"/>
        <v>1035818494.1459421</v>
      </c>
      <c r="F26" s="10">
        <f t="shared" si="6"/>
        <v>190016823.99980414</v>
      </c>
    </row>
    <row r="27" spans="1:6" x14ac:dyDescent="0.35">
      <c r="A27" s="3" t="s">
        <v>177</v>
      </c>
      <c r="B27" s="39">
        <f>B26/B7</f>
        <v>0.17499999999999999</v>
      </c>
      <c r="C27" s="39">
        <f t="shared" ref="C27:E27" si="8">C26/C7</f>
        <v>0.17499999999999999</v>
      </c>
      <c r="D27" s="39">
        <f t="shared" si="8"/>
        <v>0.17500000000000002</v>
      </c>
      <c r="E27" s="39">
        <f t="shared" si="8"/>
        <v>0.17500000000000002</v>
      </c>
      <c r="F27" s="3"/>
    </row>
    <row r="29" spans="1:6" x14ac:dyDescent="0.35">
      <c r="A29" s="24" t="s">
        <v>178</v>
      </c>
    </row>
    <row r="30" spans="1:6" x14ac:dyDescent="0.35">
      <c r="A30" s="3" t="s">
        <v>36</v>
      </c>
      <c r="B30" s="10">
        <f>B20-B26</f>
        <v>652475574.11273456</v>
      </c>
      <c r="C30" s="10">
        <f t="shared" ref="C30:E30" si="9">C20-C26</f>
        <v>698713690.70117235</v>
      </c>
      <c r="D30" s="10">
        <f t="shared" si="9"/>
        <v>746648967.74412525</v>
      </c>
      <c r="E30" s="10">
        <f t="shared" si="9"/>
        <v>799059981.19829762</v>
      </c>
      <c r="F30" s="10">
        <f>E30-B30</f>
        <v>146584407.08556306</v>
      </c>
    </row>
    <row r="31" spans="1:6" x14ac:dyDescent="0.35">
      <c r="A31" s="3" t="s">
        <v>179</v>
      </c>
      <c r="B31" s="39">
        <f>B30/B7</f>
        <v>0.1349999999999999</v>
      </c>
      <c r="C31" s="39">
        <f t="shared" ref="C31:E31" si="10">C30/C7</f>
        <v>0.1349999999999999</v>
      </c>
      <c r="D31" s="39">
        <f t="shared" si="10"/>
        <v>0.13500000000000004</v>
      </c>
      <c r="E31" s="39">
        <f t="shared" si="10"/>
        <v>0.13499999999999993</v>
      </c>
      <c r="F31" s="3"/>
    </row>
    <row r="32" spans="1:6" x14ac:dyDescent="0.35">
      <c r="A32" s="3" t="s">
        <v>180</v>
      </c>
      <c r="B32" s="11" t="s">
        <v>16</v>
      </c>
      <c r="C32" s="39">
        <f>((C30-B30)/B30)</f>
        <v>7.0865666735976218E-2</v>
      </c>
      <c r="D32" s="39">
        <f t="shared" ref="D32:E32" si="11">((D30-C30)/C30)</f>
        <v>6.8605034767314985E-2</v>
      </c>
      <c r="E32" s="39">
        <f t="shared" si="11"/>
        <v>7.0194985486316905E-2</v>
      </c>
      <c r="F32" s="3"/>
    </row>
    <row r="34" spans="1:6" x14ac:dyDescent="0.35">
      <c r="A34" s="5" t="s">
        <v>181</v>
      </c>
    </row>
    <row r="35" spans="1:6" x14ac:dyDescent="0.35">
      <c r="A35" s="3" t="s">
        <v>41</v>
      </c>
      <c r="B35" s="10">
        <f>ACTUALS!F40</f>
        <v>10354906.05427975</v>
      </c>
      <c r="C35" s="10">
        <f>ASSUMPTIONS!G6</f>
        <v>10775883.756312381</v>
      </c>
      <c r="D35" s="10">
        <f>ASSUMPTIONS!H6</f>
        <v>11213976.266019722</v>
      </c>
      <c r="E35" s="10">
        <f>ASSUMPTIONS!I6</f>
        <v>11669879.384249009</v>
      </c>
      <c r="F35" s="10">
        <f>E35-B35</f>
        <v>1314973.329969259</v>
      </c>
    </row>
    <row r="36" spans="1:6" x14ac:dyDescent="0.35">
      <c r="A36" s="3" t="s">
        <v>192</v>
      </c>
      <c r="B36" s="10">
        <f>B30/ACTUALS!F9</f>
        <v>1362161.9501309698</v>
      </c>
      <c r="C36" s="10">
        <f>C30/'STORE PLAN'!B43</f>
        <v>1431790.3497974842</v>
      </c>
      <c r="D36" s="10">
        <f>D30/'STORE PLAN'!C43</f>
        <v>1493297.9354882506</v>
      </c>
      <c r="E36" s="10">
        <f>E30/'STORE PLAN'!D43</f>
        <v>1560664.025777925</v>
      </c>
      <c r="F36" s="10">
        <f>E36-B36</f>
        <v>198502.07564695529</v>
      </c>
    </row>
    <row r="37" spans="1:6" x14ac:dyDescent="0.35">
      <c r="A37" s="3" t="s">
        <v>134</v>
      </c>
      <c r="B37" s="10">
        <f>REVENUE!B28</f>
        <v>420.42035497869472</v>
      </c>
      <c r="C37" s="10">
        <f>REVENUE!C28</f>
        <v>441.91060178934737</v>
      </c>
      <c r="D37" s="10">
        <f>REVENUE!D28</f>
        <v>460.89442453341053</v>
      </c>
      <c r="E37" s="10">
        <f>REVENUE!E28</f>
        <v>481.68642770923645</v>
      </c>
      <c r="F37" s="30">
        <f>E37-B37</f>
        <v>61.266072730541737</v>
      </c>
    </row>
    <row r="38" spans="1:6" x14ac:dyDescent="0.35">
      <c r="A38" s="3" t="s">
        <v>182</v>
      </c>
      <c r="B38" s="4">
        <f>REVENUE!B24</f>
        <v>6.5881092662024687E-2</v>
      </c>
      <c r="C38" s="4">
        <f>REVENUE!C24</f>
        <v>7.3495731834270273E-2</v>
      </c>
      <c r="D38" s="4">
        <f>REVENUE!D24</f>
        <v>7.7453365774533767E-2</v>
      </c>
      <c r="E38" s="4">
        <f>REVENUE!E24</f>
        <v>7.9258675078864305E-2</v>
      </c>
      <c r="F38" s="58">
        <f t="shared" ref="F38:F39" si="12">E38-B38</f>
        <v>1.3377582416839617E-2</v>
      </c>
    </row>
    <row r="39" spans="1:6" x14ac:dyDescent="0.35">
      <c r="A39" s="3" t="s">
        <v>183</v>
      </c>
      <c r="B39" s="4">
        <f>1-B38</f>
        <v>0.93411890733797531</v>
      </c>
      <c r="C39" s="4">
        <f t="shared" ref="C39:E39" si="13">1-C38</f>
        <v>0.92650426816572973</v>
      </c>
      <c r="D39" s="4">
        <f t="shared" si="13"/>
        <v>0.92254663422546623</v>
      </c>
      <c r="E39" s="4">
        <f t="shared" si="13"/>
        <v>0.9207413249211357</v>
      </c>
      <c r="F39" s="58">
        <f t="shared" si="12"/>
        <v>-1.3377582416839617E-2</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6D785-067F-4C96-A677-C097B7B27D56}">
  <sheetPr>
    <tabColor rgb="FF00B0F0"/>
  </sheetPr>
  <dimension ref="A1:E27"/>
  <sheetViews>
    <sheetView workbookViewId="0">
      <pane ySplit="3" topLeftCell="A4" activePane="bottomLeft" state="frozen"/>
      <selection pane="bottomLeft" activeCell="G14" sqref="G14"/>
    </sheetView>
  </sheetViews>
  <sheetFormatPr defaultRowHeight="14.5" x14ac:dyDescent="0.35"/>
  <cols>
    <col min="1" max="1" width="36.26953125" bestFit="1" customWidth="1"/>
    <col min="2" max="4" width="16.08984375" bestFit="1" customWidth="1"/>
    <col min="7" max="7" width="10.81640625" bestFit="1" customWidth="1"/>
  </cols>
  <sheetData>
    <row r="1" spans="1:5" x14ac:dyDescent="0.35">
      <c r="A1" s="63" t="s">
        <v>197</v>
      </c>
      <c r="B1" s="63"/>
      <c r="C1" s="63"/>
      <c r="D1" s="33"/>
      <c r="E1" s="33"/>
    </row>
    <row r="3" spans="1:5" x14ac:dyDescent="0.35">
      <c r="A3" s="14" t="s">
        <v>1</v>
      </c>
      <c r="B3" s="14" t="s">
        <v>198</v>
      </c>
      <c r="C3" s="14" t="s">
        <v>199</v>
      </c>
      <c r="D3" s="14" t="s">
        <v>200</v>
      </c>
    </row>
    <row r="5" spans="1:5" x14ac:dyDescent="0.35">
      <c r="A5" s="24" t="s">
        <v>201</v>
      </c>
    </row>
    <row r="6" spans="1:5" x14ac:dyDescent="0.35">
      <c r="A6" s="3" t="s">
        <v>19</v>
      </c>
      <c r="B6" s="39">
        <v>0.01</v>
      </c>
      <c r="C6" s="39">
        <v>0.03</v>
      </c>
      <c r="D6" s="39">
        <v>0.05</v>
      </c>
    </row>
    <row r="7" spans="1:5" x14ac:dyDescent="0.35">
      <c r="A7" s="3" t="s">
        <v>202</v>
      </c>
      <c r="B7" s="3">
        <v>7</v>
      </c>
      <c r="C7" s="3">
        <v>12</v>
      </c>
      <c r="D7" s="3">
        <v>16</v>
      </c>
    </row>
    <row r="8" spans="1:5" x14ac:dyDescent="0.35">
      <c r="A8" s="3" t="s">
        <v>71</v>
      </c>
      <c r="B8" s="39">
        <v>0.435</v>
      </c>
      <c r="C8" s="39">
        <v>0.44800000000000001</v>
      </c>
      <c r="D8" s="39">
        <v>0.46</v>
      </c>
    </row>
    <row r="9" spans="1:5" x14ac:dyDescent="0.35">
      <c r="A9" s="3" t="s">
        <v>27</v>
      </c>
      <c r="B9" s="39">
        <v>0.29499999999999998</v>
      </c>
      <c r="C9" s="39">
        <v>0.31</v>
      </c>
      <c r="D9" s="39">
        <v>0.32500000000000001</v>
      </c>
    </row>
    <row r="10" spans="1:5" x14ac:dyDescent="0.35">
      <c r="A10" s="3" t="s">
        <v>82</v>
      </c>
      <c r="B10" s="39">
        <v>0.115</v>
      </c>
      <c r="C10" s="39">
        <v>0.108</v>
      </c>
      <c r="D10" s="39">
        <v>0.10199999999999999</v>
      </c>
    </row>
    <row r="11" spans="1:5" x14ac:dyDescent="0.35">
      <c r="A11" s="3" t="s">
        <v>203</v>
      </c>
      <c r="B11" s="39">
        <v>0.19</v>
      </c>
      <c r="C11" s="39">
        <v>0.17499999999999999</v>
      </c>
      <c r="D11" s="39">
        <v>0.16</v>
      </c>
    </row>
    <row r="13" spans="1:5" x14ac:dyDescent="0.35">
      <c r="A13" s="24" t="s">
        <v>204</v>
      </c>
    </row>
    <row r="14" spans="1:5" x14ac:dyDescent="0.35">
      <c r="A14" s="3" t="s">
        <v>140</v>
      </c>
      <c r="B14" s="10">
        <v>5769588367.57271</v>
      </c>
      <c r="C14" s="10">
        <v>5918962823.6910973</v>
      </c>
      <c r="D14" s="10">
        <v>6056667400.4252357</v>
      </c>
    </row>
    <row r="15" spans="1:5" x14ac:dyDescent="0.35">
      <c r="A15" s="3" t="s">
        <v>205</v>
      </c>
      <c r="B15" s="57">
        <f>((B14/REVENUE!B21)^((1/3))-1)</f>
        <v>6.0811241275949834E-2</v>
      </c>
      <c r="C15" s="57">
        <f>((C14/REVENUE!$B$21)^((1/3))-1)</f>
        <v>6.9888142225271954E-2</v>
      </c>
      <c r="D15" s="57">
        <f>((D14/REVENUE!$B$21)^((1/3))-1)</f>
        <v>7.8121595081192652E-2</v>
      </c>
    </row>
    <row r="16" spans="1:5" x14ac:dyDescent="0.35">
      <c r="A16" s="3" t="s">
        <v>37</v>
      </c>
      <c r="B16" s="10">
        <v>1632793508.0230775</v>
      </c>
      <c r="C16" s="10">
        <v>1834878475.3442397</v>
      </c>
      <c r="D16" s="10">
        <v>2010813576.9411783</v>
      </c>
    </row>
    <row r="17" spans="1:4" x14ac:dyDescent="0.35">
      <c r="A17" s="3" t="s">
        <v>27</v>
      </c>
      <c r="B17" s="39">
        <v>0.28300000000000008</v>
      </c>
      <c r="C17" s="4">
        <v>0.30999999999999994</v>
      </c>
      <c r="D17" s="39">
        <v>0.33200000000000002</v>
      </c>
    </row>
    <row r="18" spans="1:4" x14ac:dyDescent="0.35">
      <c r="A18" s="3" t="s">
        <v>36</v>
      </c>
      <c r="B18" s="10">
        <v>640424308.80057144</v>
      </c>
      <c r="C18" s="10">
        <v>799059981.19829762</v>
      </c>
      <c r="D18" s="10">
        <v>926670112.26506114</v>
      </c>
    </row>
    <row r="19" spans="1:4" x14ac:dyDescent="0.35">
      <c r="A19" s="3" t="s">
        <v>179</v>
      </c>
      <c r="B19" s="39">
        <v>0.11100000000000011</v>
      </c>
      <c r="C19" s="4">
        <v>0.13499999999999993</v>
      </c>
      <c r="D19" s="39">
        <v>0.15300000000000002</v>
      </c>
    </row>
    <row r="20" spans="1:4" x14ac:dyDescent="0.35">
      <c r="A20" s="3" t="s">
        <v>206</v>
      </c>
      <c r="B20" s="57">
        <f>((B18-'Profit &amp; Loss'!$B30)/'Profit &amp; Loss'!$B30)</f>
        <v>-1.8470063540004487E-2</v>
      </c>
      <c r="C20" s="57">
        <f>((C18-'Profit &amp; Loss'!$B30)/'Profit &amp; Loss'!$B30)</f>
        <v>0.22465884226378144</v>
      </c>
      <c r="D20" s="57">
        <f>((D18-'Profit &amp; Loss'!$B30)/'Profit &amp; Loss'!$B30)</f>
        <v>0.42023724570101889</v>
      </c>
    </row>
    <row r="22" spans="1:4" x14ac:dyDescent="0.35">
      <c r="A22" s="24" t="s">
        <v>212</v>
      </c>
    </row>
    <row r="23" spans="1:4" x14ac:dyDescent="0.35">
      <c r="A23" s="3" t="s">
        <v>211</v>
      </c>
      <c r="B23" s="3">
        <f>7*3</f>
        <v>21</v>
      </c>
      <c r="C23" s="3">
        <f>12*3</f>
        <v>36</v>
      </c>
      <c r="D23" s="3">
        <f>16*3</f>
        <v>48</v>
      </c>
    </row>
    <row r="24" spans="1:4" x14ac:dyDescent="0.35">
      <c r="A24" s="3" t="s">
        <v>209</v>
      </c>
      <c r="B24" s="10">
        <v>323250479.00001693</v>
      </c>
      <c r="C24" s="10">
        <v>595071762.9504025</v>
      </c>
      <c r="D24" s="10">
        <v>847999796.82008255</v>
      </c>
    </row>
    <row r="25" spans="1:4" x14ac:dyDescent="0.35">
      <c r="A25" s="3" t="s">
        <v>207</v>
      </c>
      <c r="B25" s="39">
        <v>6.1043068843959943E-2</v>
      </c>
      <c r="C25" s="4">
        <v>7.0194985486317821E-2</v>
      </c>
      <c r="D25" s="39">
        <v>7.8043701992392175E-2</v>
      </c>
    </row>
    <row r="26" spans="1:4" x14ac:dyDescent="0.35">
      <c r="A26" s="3" t="s">
        <v>210</v>
      </c>
      <c r="B26" s="10">
        <f>36400000*3</f>
        <v>109200000</v>
      </c>
      <c r="C26" s="10">
        <f>50400000*3</f>
        <v>151200000</v>
      </c>
      <c r="D26" s="10">
        <f>60800000*3</f>
        <v>182400000</v>
      </c>
    </row>
    <row r="27" spans="1:4" x14ac:dyDescent="0.35">
      <c r="A27" s="3" t="s">
        <v>208</v>
      </c>
      <c r="B27" s="39">
        <f>((B24*13.5%)/B26)</f>
        <v>0.39962284491760336</v>
      </c>
      <c r="C27" s="39">
        <f t="shared" ref="C27" si="0">((C24*13.5%)/C26)</f>
        <v>0.53131407406285935</v>
      </c>
      <c r="D27" s="39">
        <f>((D24*16.5%)/D26)</f>
        <v>0.76710507936027217</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F73D-F891-4FA4-9C0A-E9EAABAECD95}">
  <sheetPr>
    <tabColor rgb="FFC00000"/>
  </sheetPr>
  <dimension ref="A1:K81"/>
  <sheetViews>
    <sheetView topLeftCell="A72" workbookViewId="0">
      <selection activeCell="M82" sqref="M82"/>
    </sheetView>
  </sheetViews>
  <sheetFormatPr defaultRowHeight="14.5" x14ac:dyDescent="0.35"/>
  <cols>
    <col min="2" max="2" width="9.6328125" customWidth="1"/>
    <col min="3" max="3" width="9.36328125" customWidth="1"/>
  </cols>
  <sheetData>
    <row r="1" spans="1:9" x14ac:dyDescent="0.35">
      <c r="A1" s="68" t="s">
        <v>217</v>
      </c>
      <c r="B1" s="68"/>
      <c r="C1" s="68"/>
      <c r="D1" s="68"/>
      <c r="E1" s="68"/>
      <c r="F1" s="68"/>
      <c r="G1" s="68"/>
      <c r="H1" s="68"/>
    </row>
    <row r="3" spans="1:9" x14ac:dyDescent="0.35">
      <c r="A3" s="72" t="s">
        <v>218</v>
      </c>
      <c r="B3" s="72"/>
    </row>
    <row r="5" spans="1:9" x14ac:dyDescent="0.35">
      <c r="A5" s="73" t="s">
        <v>228</v>
      </c>
      <c r="B5" s="73"/>
      <c r="C5" s="73"/>
      <c r="D5" s="73"/>
      <c r="E5" s="73"/>
      <c r="F5" s="73"/>
      <c r="G5" s="73"/>
      <c r="H5" s="73"/>
      <c r="I5" s="73"/>
    </row>
    <row r="6" spans="1:9" x14ac:dyDescent="0.35">
      <c r="A6" s="73"/>
      <c r="B6" s="73"/>
      <c r="C6" s="73"/>
      <c r="D6" s="73"/>
      <c r="E6" s="73"/>
      <c r="F6" s="73"/>
      <c r="G6" s="73"/>
      <c r="H6" s="73"/>
      <c r="I6" s="73"/>
    </row>
    <row r="7" spans="1:9" x14ac:dyDescent="0.35">
      <c r="A7" s="73"/>
      <c r="B7" s="73"/>
      <c r="C7" s="73"/>
      <c r="D7" s="73"/>
      <c r="E7" s="73"/>
      <c r="F7" s="73"/>
      <c r="G7" s="73"/>
      <c r="H7" s="73"/>
      <c r="I7" s="73"/>
    </row>
    <row r="8" spans="1:9" x14ac:dyDescent="0.35">
      <c r="A8" s="73"/>
      <c r="B8" s="73"/>
      <c r="C8" s="73"/>
      <c r="D8" s="73"/>
      <c r="E8" s="73"/>
      <c r="F8" s="73"/>
      <c r="G8" s="73"/>
      <c r="H8" s="73"/>
      <c r="I8" s="73"/>
    </row>
    <row r="9" spans="1:9" x14ac:dyDescent="0.35">
      <c r="A9" s="73"/>
      <c r="B9" s="73"/>
      <c r="C9" s="73"/>
      <c r="D9" s="73"/>
      <c r="E9" s="73"/>
      <c r="F9" s="73"/>
      <c r="G9" s="73"/>
      <c r="H9" s="73"/>
      <c r="I9" s="73"/>
    </row>
    <row r="10" spans="1:9" x14ac:dyDescent="0.35">
      <c r="A10" s="73"/>
      <c r="B10" s="73"/>
      <c r="C10" s="73"/>
      <c r="D10" s="73"/>
      <c r="E10" s="73"/>
      <c r="F10" s="73"/>
      <c r="G10" s="73"/>
      <c r="H10" s="73"/>
      <c r="I10" s="73"/>
    </row>
    <row r="11" spans="1:9" x14ac:dyDescent="0.35">
      <c r="A11" s="26"/>
      <c r="B11" s="26"/>
      <c r="C11" s="26"/>
      <c r="D11" s="26"/>
      <c r="E11" s="26"/>
      <c r="F11" s="26"/>
      <c r="G11" s="26"/>
      <c r="H11" s="26"/>
      <c r="I11" s="26"/>
    </row>
    <row r="12" spans="1:9" x14ac:dyDescent="0.35">
      <c r="A12" s="75" t="s">
        <v>219</v>
      </c>
      <c r="B12" s="75"/>
    </row>
    <row r="14" spans="1:9" ht="14.5" customHeight="1" x14ac:dyDescent="0.35">
      <c r="A14" s="76" t="s">
        <v>230</v>
      </c>
      <c r="B14" s="76"/>
      <c r="C14" s="76"/>
      <c r="D14" s="76"/>
      <c r="E14" s="76"/>
      <c r="F14" s="76"/>
      <c r="G14" s="76"/>
      <c r="H14" s="76"/>
      <c r="I14" s="76"/>
    </row>
    <row r="15" spans="1:9" x14ac:dyDescent="0.35">
      <c r="A15" s="76"/>
      <c r="B15" s="76"/>
      <c r="C15" s="76"/>
      <c r="D15" s="76"/>
      <c r="E15" s="76"/>
      <c r="F15" s="76"/>
      <c r="G15" s="76"/>
      <c r="H15" s="76"/>
      <c r="I15" s="76"/>
    </row>
    <row r="16" spans="1:9" x14ac:dyDescent="0.35">
      <c r="A16" s="76"/>
      <c r="B16" s="76"/>
      <c r="C16" s="76"/>
      <c r="D16" s="76"/>
      <c r="E16" s="76"/>
      <c r="F16" s="76"/>
      <c r="G16" s="76"/>
      <c r="H16" s="76"/>
      <c r="I16" s="76"/>
    </row>
    <row r="17" spans="1:9" x14ac:dyDescent="0.35">
      <c r="A17" s="76"/>
      <c r="B17" s="76"/>
      <c r="C17" s="76"/>
      <c r="D17" s="76"/>
      <c r="E17" s="76"/>
      <c r="F17" s="76"/>
      <c r="G17" s="76"/>
      <c r="H17" s="76"/>
      <c r="I17" s="76"/>
    </row>
    <row r="18" spans="1:9" x14ac:dyDescent="0.35">
      <c r="A18" s="76"/>
      <c r="B18" s="76"/>
      <c r="C18" s="76"/>
      <c r="D18" s="76"/>
      <c r="E18" s="76"/>
      <c r="F18" s="76"/>
      <c r="G18" s="76"/>
      <c r="H18" s="76"/>
      <c r="I18" s="76"/>
    </row>
    <row r="19" spans="1:9" x14ac:dyDescent="0.35">
      <c r="A19" s="76"/>
      <c r="B19" s="76"/>
      <c r="C19" s="76"/>
      <c r="D19" s="76"/>
      <c r="E19" s="76"/>
      <c r="F19" s="76"/>
      <c r="G19" s="76"/>
      <c r="H19" s="76"/>
      <c r="I19" s="76"/>
    </row>
    <row r="20" spans="1:9" x14ac:dyDescent="0.35">
      <c r="A20" s="76"/>
      <c r="B20" s="76"/>
      <c r="C20" s="76"/>
      <c r="D20" s="76"/>
      <c r="E20" s="76"/>
      <c r="F20" s="76"/>
      <c r="G20" s="76"/>
      <c r="H20" s="76"/>
      <c r="I20" s="76"/>
    </row>
    <row r="21" spans="1:9" x14ac:dyDescent="0.35">
      <c r="A21" s="76"/>
      <c r="B21" s="76"/>
      <c r="C21" s="76"/>
      <c r="D21" s="76"/>
      <c r="E21" s="76"/>
      <c r="F21" s="76"/>
      <c r="G21" s="76"/>
      <c r="H21" s="76"/>
      <c r="I21" s="76"/>
    </row>
    <row r="22" spans="1:9" x14ac:dyDescent="0.35">
      <c r="A22" s="76"/>
      <c r="B22" s="76"/>
      <c r="C22" s="76"/>
      <c r="D22" s="76"/>
      <c r="E22" s="76"/>
      <c r="F22" s="76"/>
      <c r="G22" s="76"/>
      <c r="H22" s="76"/>
      <c r="I22" s="76"/>
    </row>
    <row r="23" spans="1:9" x14ac:dyDescent="0.35">
      <c r="A23" s="76"/>
      <c r="B23" s="76"/>
      <c r="C23" s="76"/>
      <c r="D23" s="76"/>
      <c r="E23" s="76"/>
      <c r="F23" s="76"/>
      <c r="G23" s="76"/>
      <c r="H23" s="76"/>
      <c r="I23" s="76"/>
    </row>
    <row r="25" spans="1:9" x14ac:dyDescent="0.35">
      <c r="A25" s="78" t="s">
        <v>220</v>
      </c>
      <c r="B25" s="79"/>
    </row>
    <row r="27" spans="1:9" ht="14.5" customHeight="1" x14ac:dyDescent="0.35">
      <c r="A27" s="73" t="s">
        <v>231</v>
      </c>
      <c r="B27" s="73"/>
      <c r="C27" s="73"/>
      <c r="D27" s="73"/>
      <c r="E27" s="73"/>
      <c r="F27" s="73"/>
      <c r="G27" s="73"/>
      <c r="H27" s="73"/>
      <c r="I27" s="73"/>
    </row>
    <row r="28" spans="1:9" x14ac:dyDescent="0.35">
      <c r="A28" s="73"/>
      <c r="B28" s="73"/>
      <c r="C28" s="73"/>
      <c r="D28" s="73"/>
      <c r="E28" s="73"/>
      <c r="F28" s="73"/>
      <c r="G28" s="73"/>
      <c r="H28" s="73"/>
      <c r="I28" s="73"/>
    </row>
    <row r="29" spans="1:9" x14ac:dyDescent="0.35">
      <c r="A29" s="73"/>
      <c r="B29" s="73"/>
      <c r="C29" s="73"/>
      <c r="D29" s="73"/>
      <c r="E29" s="73"/>
      <c r="F29" s="73"/>
      <c r="G29" s="73"/>
      <c r="H29" s="73"/>
      <c r="I29" s="73"/>
    </row>
    <row r="30" spans="1:9" x14ac:dyDescent="0.35">
      <c r="A30" s="73"/>
      <c r="B30" s="73"/>
      <c r="C30" s="73"/>
      <c r="D30" s="73"/>
      <c r="E30" s="73"/>
      <c r="F30" s="73"/>
      <c r="G30" s="73"/>
      <c r="H30" s="73"/>
      <c r="I30" s="73"/>
    </row>
    <row r="31" spans="1:9" x14ac:dyDescent="0.35">
      <c r="A31" s="73"/>
      <c r="B31" s="73"/>
      <c r="C31" s="73"/>
      <c r="D31" s="73"/>
      <c r="E31" s="73"/>
      <c r="F31" s="73"/>
      <c r="G31" s="73"/>
      <c r="H31" s="73"/>
      <c r="I31" s="73"/>
    </row>
    <row r="32" spans="1:9" x14ac:dyDescent="0.35">
      <c r="A32" s="73"/>
      <c r="B32" s="73"/>
      <c r="C32" s="73"/>
      <c r="D32" s="73"/>
      <c r="E32" s="73"/>
      <c r="F32" s="73"/>
      <c r="G32" s="73"/>
      <c r="H32" s="73"/>
      <c r="I32" s="73"/>
    </row>
    <row r="33" spans="1:9" x14ac:dyDescent="0.35">
      <c r="A33" s="73"/>
      <c r="B33" s="73"/>
      <c r="C33" s="73"/>
      <c r="D33" s="73"/>
      <c r="E33" s="73"/>
      <c r="F33" s="73"/>
      <c r="G33" s="73"/>
      <c r="H33" s="73"/>
      <c r="I33" s="73"/>
    </row>
    <row r="34" spans="1:9" x14ac:dyDescent="0.35">
      <c r="A34" s="73"/>
      <c r="B34" s="73"/>
      <c r="C34" s="73"/>
      <c r="D34" s="73"/>
      <c r="E34" s="73"/>
      <c r="F34" s="73"/>
      <c r="G34" s="73"/>
      <c r="H34" s="73"/>
      <c r="I34" s="73"/>
    </row>
    <row r="36" spans="1:9" x14ac:dyDescent="0.35">
      <c r="A36" s="75" t="s">
        <v>221</v>
      </c>
      <c r="B36" s="75"/>
    </row>
    <row r="38" spans="1:9" ht="14.5" customHeight="1" x14ac:dyDescent="0.35">
      <c r="A38" s="76" t="s">
        <v>232</v>
      </c>
      <c r="B38" s="76"/>
      <c r="C38" s="76"/>
      <c r="D38" s="76"/>
      <c r="E38" s="76"/>
      <c r="F38" s="76"/>
      <c r="G38" s="76"/>
      <c r="H38" s="76"/>
      <c r="I38" s="76"/>
    </row>
    <row r="39" spans="1:9" x14ac:dyDescent="0.35">
      <c r="A39" s="76"/>
      <c r="B39" s="76"/>
      <c r="C39" s="76"/>
      <c r="D39" s="76"/>
      <c r="E39" s="76"/>
      <c r="F39" s="76"/>
      <c r="G39" s="76"/>
      <c r="H39" s="76"/>
      <c r="I39" s="76"/>
    </row>
    <row r="40" spans="1:9" x14ac:dyDescent="0.35">
      <c r="A40" s="76"/>
      <c r="B40" s="76"/>
      <c r="C40" s="76"/>
      <c r="D40" s="76"/>
      <c r="E40" s="76"/>
      <c r="F40" s="76"/>
      <c r="G40" s="76"/>
      <c r="H40" s="76"/>
      <c r="I40" s="76"/>
    </row>
    <row r="41" spans="1:9" x14ac:dyDescent="0.35">
      <c r="A41" s="76"/>
      <c r="B41" s="76"/>
      <c r="C41" s="76"/>
      <c r="D41" s="76"/>
      <c r="E41" s="76"/>
      <c r="F41" s="76"/>
      <c r="G41" s="76"/>
      <c r="H41" s="76"/>
      <c r="I41" s="76"/>
    </row>
    <row r="42" spans="1:9" x14ac:dyDescent="0.35">
      <c r="A42" s="76"/>
      <c r="B42" s="76"/>
      <c r="C42" s="76"/>
      <c r="D42" s="76"/>
      <c r="E42" s="76"/>
      <c r="F42" s="76"/>
      <c r="G42" s="76"/>
      <c r="H42" s="76"/>
      <c r="I42" s="76"/>
    </row>
    <row r="43" spans="1:9" x14ac:dyDescent="0.35">
      <c r="A43" s="76"/>
      <c r="B43" s="76"/>
      <c r="C43" s="76"/>
      <c r="D43" s="76"/>
      <c r="E43" s="76"/>
      <c r="F43" s="76"/>
      <c r="G43" s="76"/>
      <c r="H43" s="76"/>
      <c r="I43" s="76"/>
    </row>
    <row r="44" spans="1:9" x14ac:dyDescent="0.35">
      <c r="A44" s="76"/>
      <c r="B44" s="76"/>
      <c r="C44" s="76"/>
      <c r="D44" s="76"/>
      <c r="E44" s="76"/>
      <c r="F44" s="76"/>
      <c r="G44" s="76"/>
      <c r="H44" s="76"/>
      <c r="I44" s="76"/>
    </row>
    <row r="46" spans="1:9" x14ac:dyDescent="0.35">
      <c r="A46" s="78" t="s">
        <v>222</v>
      </c>
      <c r="B46" s="79"/>
    </row>
    <row r="48" spans="1:9" x14ac:dyDescent="0.35">
      <c r="A48" s="81" t="s">
        <v>223</v>
      </c>
      <c r="B48" s="81"/>
    </row>
    <row r="50" spans="1:11" ht="14.5" customHeight="1" x14ac:dyDescent="0.35">
      <c r="A50" s="73" t="s">
        <v>234</v>
      </c>
      <c r="B50" s="73"/>
      <c r="C50" s="73"/>
      <c r="D50" s="73"/>
      <c r="E50" s="73"/>
      <c r="F50" s="73"/>
      <c r="G50" s="73"/>
      <c r="H50" s="73"/>
      <c r="I50" s="73"/>
      <c r="J50" s="73"/>
      <c r="K50" s="73"/>
    </row>
    <row r="51" spans="1:11" x14ac:dyDescent="0.35">
      <c r="A51" s="73"/>
      <c r="B51" s="73"/>
      <c r="C51" s="73"/>
      <c r="D51" s="73"/>
      <c r="E51" s="73"/>
      <c r="F51" s="73"/>
      <c r="G51" s="73"/>
      <c r="H51" s="73"/>
      <c r="I51" s="73"/>
      <c r="J51" s="73"/>
      <c r="K51" s="73"/>
    </row>
    <row r="52" spans="1:11" x14ac:dyDescent="0.35">
      <c r="A52" s="73"/>
      <c r="B52" s="73"/>
      <c r="C52" s="73"/>
      <c r="D52" s="73"/>
      <c r="E52" s="73"/>
      <c r="F52" s="73"/>
      <c r="G52" s="73"/>
      <c r="H52" s="73"/>
      <c r="I52" s="73"/>
      <c r="J52" s="73"/>
      <c r="K52" s="73"/>
    </row>
    <row r="54" spans="1:11" x14ac:dyDescent="0.35">
      <c r="A54" s="81" t="s">
        <v>224</v>
      </c>
      <c r="B54" s="81"/>
    </row>
    <row r="56" spans="1:11" x14ac:dyDescent="0.35">
      <c r="A56" s="73" t="s">
        <v>236</v>
      </c>
      <c r="B56" s="74"/>
      <c r="C56" s="74"/>
      <c r="D56" s="74"/>
      <c r="E56" s="74"/>
      <c r="F56" s="74"/>
      <c r="G56" s="74"/>
      <c r="H56" s="74"/>
      <c r="I56" s="74"/>
    </row>
    <row r="57" spans="1:11" x14ac:dyDescent="0.35">
      <c r="A57" s="74"/>
      <c r="B57" s="74"/>
      <c r="C57" s="74"/>
      <c r="D57" s="74"/>
      <c r="E57" s="74"/>
      <c r="F57" s="74"/>
      <c r="G57" s="74"/>
      <c r="H57" s="74"/>
      <c r="I57" s="74"/>
    </row>
    <row r="59" spans="1:11" x14ac:dyDescent="0.35">
      <c r="A59" s="81" t="s">
        <v>225</v>
      </c>
      <c r="B59" s="81"/>
    </row>
    <row r="61" spans="1:11" x14ac:dyDescent="0.35">
      <c r="A61" s="76" t="s">
        <v>233</v>
      </c>
      <c r="B61" s="80"/>
      <c r="C61" s="80"/>
      <c r="D61" s="80"/>
      <c r="E61" s="80"/>
      <c r="F61" s="80"/>
      <c r="G61" s="80"/>
      <c r="H61" s="80"/>
      <c r="I61" s="80"/>
    </row>
    <row r="62" spans="1:11" x14ac:dyDescent="0.35">
      <c r="A62" s="80"/>
      <c r="B62" s="80"/>
      <c r="C62" s="80"/>
      <c r="D62" s="80"/>
      <c r="E62" s="80"/>
      <c r="F62" s="80"/>
      <c r="G62" s="80"/>
      <c r="H62" s="80"/>
      <c r="I62" s="80"/>
    </row>
    <row r="63" spans="1:11" x14ac:dyDescent="0.35">
      <c r="A63" s="80"/>
      <c r="B63" s="80"/>
      <c r="C63" s="80"/>
      <c r="D63" s="80"/>
      <c r="E63" s="80"/>
      <c r="F63" s="80"/>
      <c r="G63" s="80"/>
      <c r="H63" s="80"/>
      <c r="I63" s="80"/>
    </row>
    <row r="65" spans="1:8" x14ac:dyDescent="0.35">
      <c r="A65" s="75" t="s">
        <v>226</v>
      </c>
      <c r="B65" s="75"/>
    </row>
    <row r="67" spans="1:8" ht="14.5" customHeight="1" x14ac:dyDescent="0.35">
      <c r="A67" s="76" t="s">
        <v>235</v>
      </c>
      <c r="B67" s="76"/>
      <c r="C67" s="76"/>
      <c r="D67" s="76"/>
      <c r="E67" s="76"/>
      <c r="F67" s="76"/>
      <c r="G67" s="76"/>
      <c r="H67" s="76"/>
    </row>
    <row r="68" spans="1:8" x14ac:dyDescent="0.35">
      <c r="A68" s="76"/>
      <c r="B68" s="76"/>
      <c r="C68" s="76"/>
      <c r="D68" s="76"/>
      <c r="E68" s="76"/>
      <c r="F68" s="76"/>
      <c r="G68" s="76"/>
      <c r="H68" s="76"/>
    </row>
    <row r="69" spans="1:8" x14ac:dyDescent="0.35">
      <c r="A69" s="76"/>
      <c r="B69" s="76"/>
      <c r="C69" s="76"/>
      <c r="D69" s="76"/>
      <c r="E69" s="76"/>
      <c r="F69" s="76"/>
      <c r="G69" s="76"/>
      <c r="H69" s="76"/>
    </row>
    <row r="70" spans="1:8" x14ac:dyDescent="0.35">
      <c r="A70" s="76"/>
      <c r="B70" s="76"/>
      <c r="C70" s="76"/>
      <c r="D70" s="76"/>
      <c r="E70" s="76"/>
      <c r="F70" s="76"/>
      <c r="G70" s="76"/>
      <c r="H70" s="76"/>
    </row>
    <row r="71" spans="1:8" x14ac:dyDescent="0.35">
      <c r="A71" s="76"/>
      <c r="B71" s="76"/>
      <c r="C71" s="76"/>
      <c r="D71" s="76"/>
      <c r="E71" s="76"/>
      <c r="F71" s="76"/>
      <c r="G71" s="76"/>
      <c r="H71" s="76"/>
    </row>
    <row r="72" spans="1:8" x14ac:dyDescent="0.35">
      <c r="A72" s="76"/>
      <c r="B72" s="76"/>
      <c r="C72" s="76"/>
      <c r="D72" s="76"/>
      <c r="E72" s="76"/>
      <c r="F72" s="76"/>
      <c r="G72" s="76"/>
      <c r="H72" s="76"/>
    </row>
    <row r="73" spans="1:8" x14ac:dyDescent="0.35">
      <c r="A73" s="76"/>
      <c r="B73" s="76"/>
      <c r="C73" s="76"/>
      <c r="D73" s="76"/>
      <c r="E73" s="76"/>
      <c r="F73" s="76"/>
      <c r="G73" s="76"/>
      <c r="H73" s="76"/>
    </row>
    <row r="74" spans="1:8" x14ac:dyDescent="0.35">
      <c r="A74" s="77"/>
      <c r="B74" s="77"/>
      <c r="C74" s="77"/>
      <c r="D74" s="77"/>
      <c r="E74" s="77"/>
      <c r="F74" s="77"/>
      <c r="G74" s="77"/>
      <c r="H74" s="77"/>
    </row>
    <row r="75" spans="1:8" x14ac:dyDescent="0.35">
      <c r="A75" s="72" t="s">
        <v>227</v>
      </c>
      <c r="B75" s="72"/>
      <c r="C75" s="72"/>
    </row>
    <row r="77" spans="1:8" x14ac:dyDescent="0.35">
      <c r="A77" t="s">
        <v>213</v>
      </c>
    </row>
    <row r="78" spans="1:8" x14ac:dyDescent="0.35">
      <c r="A78" t="s">
        <v>214</v>
      </c>
    </row>
    <row r="79" spans="1:8" x14ac:dyDescent="0.35">
      <c r="A79" t="s">
        <v>215</v>
      </c>
    </row>
    <row r="80" spans="1:8" x14ac:dyDescent="0.35">
      <c r="A80" t="s">
        <v>216</v>
      </c>
    </row>
    <row r="81" spans="1:1" x14ac:dyDescent="0.35">
      <c r="A81" t="s">
        <v>229</v>
      </c>
    </row>
  </sheetData>
  <mergeCells count="19">
    <mergeCell ref="A75:C75"/>
    <mergeCell ref="A61:I63"/>
    <mergeCell ref="A50:K52"/>
    <mergeCell ref="A67:H73"/>
    <mergeCell ref="A56:I57"/>
    <mergeCell ref="A46:B46"/>
    <mergeCell ref="A65:B65"/>
    <mergeCell ref="A59:B59"/>
    <mergeCell ref="A48:B48"/>
    <mergeCell ref="A54:B54"/>
    <mergeCell ref="A27:I34"/>
    <mergeCell ref="A36:B36"/>
    <mergeCell ref="A38:I44"/>
    <mergeCell ref="A14:I23"/>
    <mergeCell ref="A25:B25"/>
    <mergeCell ref="A1:H1"/>
    <mergeCell ref="A3:B3"/>
    <mergeCell ref="A5:I10"/>
    <mergeCell ref="A12: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ACTUALS</vt:lpstr>
      <vt:lpstr>ASSUMPTIONS</vt:lpstr>
      <vt:lpstr>STORE PLAN</vt:lpstr>
      <vt:lpstr>REVENUE</vt:lpstr>
      <vt:lpstr>Profit &amp; Loss</vt:lpstr>
      <vt:lpstr>SCENARIO</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Dabi Njere</dc:creator>
  <cp:lastModifiedBy>Dabi Njere</cp:lastModifiedBy>
  <dcterms:created xsi:type="dcterms:W3CDTF">2026-07-13T21:42:29Z</dcterms:created>
  <dcterms:modified xsi:type="dcterms:W3CDTF">2026-07-22T03:30:57Z</dcterms:modified>
</cp:coreProperties>
</file>