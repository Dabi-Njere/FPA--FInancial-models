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cd43ffb156b6104/Desktop/2026 Resume Folder January Job applications/"/>
    </mc:Choice>
  </mc:AlternateContent>
  <xr:revisionPtr revIDLastSave="645" documentId="8_{3BD477C3-9057-44E4-A63D-54A1232BFF0B}" xr6:coauthVersionLast="47" xr6:coauthVersionMax="47" xr10:uidLastSave="{4F647EFA-FD9A-4707-BD33-791BA01734E4}"/>
  <bookViews>
    <workbookView xWindow="10740" yWindow="3885" windowWidth="29400" windowHeight="16320" activeTab="2" xr2:uid="{197DD510-AAA0-4438-9DD2-073BB12950B6}"/>
  </bookViews>
  <sheets>
    <sheet name="ASSUMPTIONS" sheetId="1" r:id="rId1"/>
    <sheet name="VARIANCE ANALYSIS" sheetId="2" r:id="rId2"/>
    <sheet name="SEGMENT PERFORMANCE" sheetId="3" r:id="rId3"/>
    <sheet name="INSIGH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3" i="2" l="1"/>
  <c r="E13" i="2" s="1"/>
  <c r="B13" i="2"/>
  <c r="B9" i="1"/>
  <c r="D28" i="3"/>
  <c r="D27" i="3"/>
  <c r="D26" i="3"/>
  <c r="D25" i="3"/>
  <c r="C26" i="3"/>
  <c r="C27" i="3"/>
  <c r="C28" i="3"/>
  <c r="C25" i="3"/>
  <c r="B26" i="3"/>
  <c r="B27" i="3"/>
  <c r="B28" i="3"/>
  <c r="B25" i="3"/>
  <c r="D21" i="3"/>
  <c r="E21" i="3"/>
  <c r="C21" i="3"/>
  <c r="C20" i="3"/>
  <c r="C19" i="3"/>
  <c r="D19" i="3"/>
  <c r="E19" i="3"/>
  <c r="D20" i="3"/>
  <c r="E20" i="3"/>
  <c r="D18" i="3"/>
  <c r="E18" i="3"/>
  <c r="C18" i="3"/>
  <c r="C15" i="3"/>
  <c r="D15" i="3"/>
  <c r="E15" i="3"/>
  <c r="B15" i="3"/>
  <c r="C13" i="3"/>
  <c r="D13" i="3"/>
  <c r="E13" i="3"/>
  <c r="C14" i="3"/>
  <c r="D14" i="3"/>
  <c r="E14" i="3"/>
  <c r="B13" i="3"/>
  <c r="B14" i="3"/>
  <c r="C12" i="3"/>
  <c r="D12" i="3"/>
  <c r="E12" i="3"/>
  <c r="B12" i="3"/>
  <c r="F9" i="3"/>
  <c r="E9" i="3"/>
  <c r="C9" i="3"/>
  <c r="D9" i="3"/>
  <c r="B9" i="3"/>
  <c r="F8" i="3"/>
  <c r="F7" i="3"/>
  <c r="E8" i="3"/>
  <c r="C8" i="3"/>
  <c r="D8" i="3"/>
  <c r="B8" i="3"/>
  <c r="E7" i="3"/>
  <c r="C7" i="3"/>
  <c r="D7" i="3"/>
  <c r="B7" i="3"/>
  <c r="E6" i="3"/>
  <c r="C6" i="3"/>
  <c r="D6" i="3"/>
  <c r="B6" i="3"/>
  <c r="F6" i="3"/>
  <c r="B20" i="2"/>
  <c r="B21" i="2"/>
  <c r="C19" i="2"/>
  <c r="B19" i="2"/>
  <c r="C18" i="2"/>
  <c r="B18" i="2"/>
  <c r="D15" i="2"/>
  <c r="C15" i="2"/>
  <c r="B15" i="2"/>
  <c r="C9" i="2"/>
  <c r="B9" i="2"/>
  <c r="B8" i="2"/>
  <c r="C8" i="2"/>
  <c r="E8" i="2" s="1"/>
  <c r="F8" i="2" s="1"/>
  <c r="C7" i="2"/>
  <c r="G7" i="2" s="1"/>
  <c r="B7" i="2"/>
  <c r="G6" i="2"/>
  <c r="C6" i="2"/>
  <c r="B6" i="2"/>
  <c r="C12" i="2"/>
  <c r="B12" i="2"/>
  <c r="C14" i="2"/>
  <c r="E14" i="2" s="1"/>
  <c r="F14" i="2" s="1"/>
  <c r="B14" i="2"/>
  <c r="D14" i="2"/>
  <c r="D13" i="2"/>
  <c r="D12" i="2"/>
  <c r="D9" i="2"/>
  <c r="E9" i="2" s="1"/>
  <c r="F9" i="2" s="1"/>
  <c r="D8" i="2"/>
  <c r="D7" i="2"/>
  <c r="D6" i="2"/>
  <c r="E6" i="2" s="1"/>
  <c r="F6" i="2" s="1"/>
  <c r="C38" i="1"/>
  <c r="D38" i="1"/>
  <c r="B38" i="1"/>
  <c r="C31" i="1"/>
  <c r="B31" i="1"/>
  <c r="C27" i="1"/>
  <c r="C29" i="1" s="1"/>
  <c r="B27" i="1"/>
  <c r="B29" i="1" s="1"/>
  <c r="D19" i="1"/>
  <c r="B19" i="1"/>
  <c r="C18" i="1"/>
  <c r="C21" i="1" s="1"/>
  <c r="D18" i="1"/>
  <c r="D21" i="1" s="1"/>
  <c r="B18" i="1"/>
  <c r="B21" i="1" s="1"/>
  <c r="D11" i="1"/>
  <c r="C11" i="1"/>
  <c r="D10" i="1"/>
  <c r="C10" i="1"/>
  <c r="C9" i="1"/>
  <c r="D9" i="1"/>
  <c r="C8" i="1"/>
  <c r="D8" i="1"/>
  <c r="B8" i="1"/>
  <c r="G12" i="2" l="1"/>
  <c r="G15" i="2"/>
  <c r="E7" i="2"/>
  <c r="F7" i="2" s="1"/>
  <c r="E12" i="2"/>
  <c r="F12" i="2"/>
  <c r="E15" i="2"/>
  <c r="F15" i="2" s="1"/>
  <c r="G9" i="2"/>
  <c r="G8" i="2"/>
  <c r="G14" i="2"/>
  <c r="G13" i="2"/>
  <c r="B20" i="1"/>
  <c r="C19" i="1"/>
  <c r="D20" i="1"/>
  <c r="C20" i="1"/>
</calcChain>
</file>

<file path=xl/sharedStrings.xml><?xml version="1.0" encoding="utf-8"?>
<sst xmlns="http://schemas.openxmlformats.org/spreadsheetml/2006/main" count="172" uniqueCount="132">
  <si>
    <t>Ontario Power Generation — Financial Performance &amp; Variance Analysis Model</t>
  </si>
  <si>
    <t>Source: OPG Annual Reports 2021-2023 | Budget assumptions derived from management guidance</t>
  </si>
  <si>
    <t>HISTORICAL ACTUALS — OPG Annual Report Data</t>
  </si>
  <si>
    <t>2021A</t>
  </si>
  <si>
    <t>2022A</t>
  </si>
  <si>
    <t>2023A</t>
  </si>
  <si>
    <t>SOURCE</t>
  </si>
  <si>
    <t>Total Revenue ($M)</t>
  </si>
  <si>
    <t>OPG Annual Report</t>
  </si>
  <si>
    <t>EBIT ($M)</t>
  </si>
  <si>
    <t>Net Income</t>
  </si>
  <si>
    <t>EBIT Margin %</t>
  </si>
  <si>
    <t xml:space="preserve">Net Income Margin % </t>
  </si>
  <si>
    <t>Revenue YoY Growth %</t>
  </si>
  <si>
    <t>-</t>
  </si>
  <si>
    <t xml:space="preserve">Net Income YoY Growth % </t>
  </si>
  <si>
    <t>Derived</t>
  </si>
  <si>
    <t>REVENUE BY SEGMENT ($M)</t>
  </si>
  <si>
    <t>Regulated Hydroelectric</t>
  </si>
  <si>
    <t>Regulated Nuclear Generation</t>
  </si>
  <si>
    <t>Contracted &amp; Other</t>
  </si>
  <si>
    <t>Total Revenue Check ($M)</t>
  </si>
  <si>
    <t>Nuclear % of Revenue</t>
  </si>
  <si>
    <t>Hydro % of Revenue</t>
  </si>
  <si>
    <t>Contracted &amp; Other % of Revenue</t>
  </si>
  <si>
    <t>2024 BUDGET ASSUMPTIONS</t>
  </si>
  <si>
    <t>Driver</t>
  </si>
  <si>
    <t>Budget</t>
  </si>
  <si>
    <t>Forecast (Mid-Year)</t>
  </si>
  <si>
    <t>Derivation</t>
  </si>
  <si>
    <t>Revenue Growth % vs 2023</t>
  </si>
  <si>
    <t>Historical avg growth + management guidance</t>
  </si>
  <si>
    <t>Budget Revenue ($M)</t>
  </si>
  <si>
    <t>2023A × (1 + growth rate)</t>
  </si>
  <si>
    <t>EBIT Margin % Target</t>
  </si>
  <si>
    <t>Historical margin trend continuation</t>
  </si>
  <si>
    <t>Budget EBIT ($M)</t>
  </si>
  <si>
    <t>Revenue × EBIT Margin %</t>
  </si>
  <si>
    <t>Net Income Margin % Target</t>
  </si>
  <si>
    <t>Budget Net Income ($M)</t>
  </si>
  <si>
    <t>Revenue × Net Income Margin %</t>
  </si>
  <si>
    <t>SEGMENT BUDGET ASSUMPTIONS ($M)</t>
  </si>
  <si>
    <t>Segment</t>
  </si>
  <si>
    <t>2024 Budget</t>
  </si>
  <si>
    <t>2024 Forecast</t>
  </si>
  <si>
    <t>Growth Assumption</t>
  </si>
  <si>
    <t>Regulated Nuclear</t>
  </si>
  <si>
    <t>Regulated Hydro</t>
  </si>
  <si>
    <t>Total Budget Revenue ($M)</t>
  </si>
  <si>
    <t>+6.7% budget / +3.3% forecast — refurbishment capacity</t>
  </si>
  <si>
    <t>+2.4% budget / -1.0% forecast — water levels</t>
  </si>
  <si>
    <t>+2.5% budget / -2.5% forecast — contract renewals</t>
  </si>
  <si>
    <t>Darlington Refurbishment adds capacity — units coming back online increase generation revenue</t>
  </si>
  <si>
    <t>Flat historically — slight increase assuming normal water levels</t>
  </si>
  <si>
    <t>Small contracts renewing at similar rates</t>
  </si>
  <si>
    <t>Note: "Budget assumptions are analyst estimates derived from OPG historical growth trends and publicly available management guidance. In practice these figures would be sourced directly from OPG's internal planning systems (SAP BPC). Figures are for modeling demonstration purposes only."</t>
  </si>
  <si>
    <t>OPG — Variance Analysis Report</t>
  </si>
  <si>
    <t>Actuals vs Budget vs Prior Year | FY2023</t>
  </si>
  <si>
    <t>Financial Metric</t>
  </si>
  <si>
    <t>Variance $(Act vs Bud)</t>
  </si>
  <si>
    <t>Variance % (Act vs Bud)</t>
  </si>
  <si>
    <t>Variance $ (YoY)</t>
  </si>
  <si>
    <t>Variance Driver</t>
  </si>
  <si>
    <t>REVENUE</t>
  </si>
  <si>
    <t>Nuclear regulated price increase + higher generation output</t>
  </si>
  <si>
    <t>Regulated Nuclear ($M)</t>
  </si>
  <si>
    <t>Darlington refurbishment capacity + regulated price adjustments</t>
  </si>
  <si>
    <t>Regulated Hydro ($M)</t>
  </si>
  <si>
    <t>Water levels — flat vs prior year</t>
  </si>
  <si>
    <t>Contracted &amp; Other ($M)</t>
  </si>
  <si>
    <t>Contract renewals — volume decline</t>
  </si>
  <si>
    <t>PROFITABILITY</t>
  </si>
  <si>
    <t>Revenue growth partially offset by higher operating costs</t>
  </si>
  <si>
    <t>Margin compression from cost pressures</t>
  </si>
  <si>
    <t>Net Income ($M)</t>
  </si>
  <si>
    <t>Strong earnings growth driven by regulated nuclear performance</t>
  </si>
  <si>
    <t>Net Income Margin %</t>
  </si>
  <si>
    <t>Margin expansion from operating leverage</t>
  </si>
  <si>
    <t>VARIANCE SUMMARY</t>
  </si>
  <si>
    <t>Total Revenue Variance vs Budget</t>
  </si>
  <si>
    <t>Net Income Variance vs Budget</t>
  </si>
  <si>
    <t>YoY Revenue Growth</t>
  </si>
  <si>
    <t>YoY Net Income Growth</t>
  </si>
  <si>
    <t>OPG — Segment Performance Analysis</t>
  </si>
  <si>
    <t>Revenue and contribution by business segment | 2021-2023 Actuals + 2024 Budget</t>
  </si>
  <si>
    <t>Segment Metric</t>
  </si>
  <si>
    <t>3-year CAGR</t>
  </si>
  <si>
    <t>REVENUE ($M)</t>
  </si>
  <si>
    <t>Total Revenue</t>
  </si>
  <si>
    <t>REVENUE MIX %</t>
  </si>
  <si>
    <t>Nuclear % of Total</t>
  </si>
  <si>
    <t>Hydro % of Total</t>
  </si>
  <si>
    <t>Contracted % of Total</t>
  </si>
  <si>
    <t>Mix Check (should = 100%)</t>
  </si>
  <si>
    <t>REVENUE GROWTH % YoY</t>
  </si>
  <si>
    <t>Nuclear YoY Growth</t>
  </si>
  <si>
    <t>Hydro YoY Growth</t>
  </si>
  <si>
    <t>Contracted YoY Growth</t>
  </si>
  <si>
    <t>Total Revenue Growth</t>
  </si>
  <si>
    <t>SEGMENT CONTRIBUTION TO REVENUE CHANGE ($M)</t>
  </si>
  <si>
    <t>Nuclear</t>
  </si>
  <si>
    <t>Hydro</t>
  </si>
  <si>
    <t>Contracted</t>
  </si>
  <si>
    <t>Total Change</t>
  </si>
  <si>
    <t>KEY SEGMENT METRICS</t>
  </si>
  <si>
    <t>Largest Revenue Segment</t>
  </si>
  <si>
    <t>Nuclear % of Total Revenue</t>
  </si>
  <si>
    <t>Fastest Growing Segment (YoY)</t>
  </si>
  <si>
    <t>Declining Segment</t>
  </si>
  <si>
    <t>Contracted (+2.5% recovery budgeted)</t>
  </si>
  <si>
    <t>Contracted (-11.1%)</t>
  </si>
  <si>
    <t>Nuclear (+6.7% budget)</t>
  </si>
  <si>
    <t>Nuclear (+7.1%)</t>
  </si>
  <si>
    <t>% of Total Change</t>
  </si>
  <si>
    <t>2022 vs 2021 ($M)</t>
  </si>
  <si>
    <t>2023 vs 2022 ($M)</t>
  </si>
  <si>
    <t>OPG — Analyst Insights &amp; Financial Commentary</t>
  </si>
  <si>
    <t>Based on OPG Annual Reports 2021-2023 | Prepared by Dabi C. Njere, Financial Analyst</t>
  </si>
  <si>
    <t>1. BUSINESS OVERVIEW</t>
  </si>
  <si>
    <t>Ontario Power Generation is Ontario's largest clean electricity generator, producing approximately half of the province's power through regulated nuclear, regulated hydroelectric, and contracted generation assets. As a Crown corporation wholly owned by the Province of Ontario, OPG operates under a regulated rate framework set by the Ontario Energy Board — meaning revenue is largely determined by approved regulated prices and generation volumes rather than market competition. This regulated structure creates a stable, predictable revenue base but also means that variances from budget are primarily driven by generation output, planned outage timing, and regulatory rate decisions rather than commercial pricing dynamics.</t>
  </si>
  <si>
    <t>2. REVENUE PERFORMANCE 2021-2023</t>
  </si>
  <si>
    <t>OPG's total revenue grew from approximately $6,800M in 2021 to $7,400M in 2023 — a 3-year CAGR of approximately 4.3%. This growth was driven almost entirely by the Regulated Nuclear Generation segment, which expanded from $3,900M to $4,500M over the same period, reflecting the progressive return of refurbished Darlington units to service and OEB-approved regulated price adjustments. The Regulated Hydro segment remained essentially flat at approximately $2,100M — consistent with the segment's dependence on water levels and stable long-term contracts. The Contracted &amp; Other segment declined from $900M to $800M, reflecting contract expiries and volume reductions. Nuclear now represents approximately 61% of total revenue, up from 57% in 2021 — highlighting the increasing concentration of OPG's revenue base in its largest regulated segment.</t>
  </si>
  <si>
    <t>3. PROFITABILITY &amp; MARGIN ANALYSIS</t>
  </si>
  <si>
    <t>Net income grew strongly from $1,325M in 2021 to $1,741M in 2023 — a 3-year increase of 31.4%. EBIT expanded from approximately $2,100M to $2,198M over the same period, though EBIT growth was more modest at 4.7% reflecting rising operating costs associated with the Darlington Refurbishment Project. Net income growth significantly outpaced EBIT growth, suggesting favorable movements in financing costs or deferred tax recoveries below the operating line. EBIT margin compressed slightly from approximately 30.9% in 2021 to 29.7% in 2023 — a trend consistent with higher capital project costs flowing through the income statement. Despite this compression, OPG's margins remain strong and reflect the financial advantages of operating regulated assets with cost recovery mechanisms embedded in the rate structure.</t>
  </si>
  <si>
    <t>4. KEY VARIANCE FINDINGS</t>
  </si>
  <si>
    <t>The variance analysis reveals that Nuclear Generation is the single most significant driver of OPG's financial performance — both in terms of absolute revenue contribution and year-over-year change. In 2023 the Nuclear segment contributed $300M of incremental revenue versus 2022, accounting for the entirety of OPG's revenue growth and offsetting the $100M decline in Contracted &amp; Other revenue. The Hydro segment contributed zero incremental revenue in 2023 — flat water levels and stable contracts produced consistent but unchanged output. From a budget perspective the 2024 budget assumes continued nuclear growth of 6.7% driven by Darlington refurbishment capacity coming back online. The primary variance risk is generation volume — any unplanned outage or regulatory delay in returning refurbished units to service would directly impact revenue and net income, as demonstrated by the planned 2024 outage on Unit 2 which reduced net income by $753M versus 2023.</t>
  </si>
  <si>
    <t>5. DARLINGTON REFURBISHMENT — FP&amp;A IMPLICATIONS</t>
  </si>
  <si>
    <t>The Darlington Refurbishment Project — budgeted at $12.8B and on track for completion in 2026 — is the most significant financial planning variable in OPG's medium-term outlook. From an FP&amp;A perspective the refurbishment creates predictable but significant short-term earnings volatility: each unit taken offline for refurbishment reduces nuclear generation volume and revenue for the duration of the outage, while refurbishment costs flow through capital expenditure. Unit 1 returned to full power in late 2024 approximately five months ahead of schedule — a positive variance against the refurbishment plan. Unit 4, the final unit, is on track for 2026 completion. The financial planning team must model outage timing assumptions carefully — a one-month acceleration or delay in refurbishment completion has material revenue implications given nuclear's 61% share of total revenue. This dynamic makes OPG's budget process highly sensitive to generation volume assumptions and makes variance explanation a critical recurring FP&amp;A deliverable.</t>
  </si>
  <si>
    <t>6. MODEL LIMITATIONS &amp; DATA SOURCES</t>
  </si>
  <si>
    <t>This model uses publicly available OPG annual report data for 2021-2023 actuals. Revenue figures are analyst estimates derived from reported net income, EBIT, and segment disclosures — OPG does not publish a full segmented income statement in its public releases. Budget assumptions for 2024 are analyst estimates derived from historical growth trends and management guidance; they do not reflect OPG's internal budget which would be prepared using SAP BPC and informed by OEB rate decisions, generation planning assumptions, and capital project schedules. Segment revenue splits are approximations based on disclosed proportional data. In a live FP&amp;A role these figures would be sourced directly from SAP and the internal planning system. Despite these limitations the model demonstrates the analytical framework and variance commentary approach used in utility sector FP&amp;A — identifying drivers, quantifying segment contributions, and communicating findings in decision-ready format.</t>
  </si>
  <si>
    <t>DATA SOURCES</t>
  </si>
  <si>
    <t>OPG Annual Reports 2021, 2022, 2023 — Ontario Power Generation Inc. OPG Q4 2024 Financial Results Press Release — March 4, 2025. Ontario Energy Board regulated rate decisions — OEB.ca. Ontario Ministry of Energy Published Plans and Annual Reports 2023-2024. All figures in Canadian dollars (CAD millions) unless otherwise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</si>
</sst>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2" fillId="2" borderId="0" xfId="0" applyFont="1" applyFill="1"/>
    <xf numFmtId="164" fontId="0" fillId="0" borderId="0" xfId="0" applyNumberFormat="1"/>
    <xf numFmtId="9" fontId="0" fillId="0" borderId="0" xfId="1" applyFont="1"/>
    <xf numFmtId="10" fontId="0" fillId="0" borderId="0" xfId="1" applyNumberFormat="1" applyFont="1"/>
    <xf numFmtId="0" fontId="0" fillId="0" borderId="0" xfId="0" applyAlignment="1">
      <alignment horizontal="center"/>
    </xf>
    <xf numFmtId="0" fontId="2" fillId="3" borderId="0" xfId="0" applyFont="1" applyFill="1"/>
    <xf numFmtId="164" fontId="0" fillId="0" borderId="0" xfId="0" applyNumberFormat="1" applyAlignment="1">
      <alignment horizontal="center"/>
    </xf>
    <xf numFmtId="10" fontId="0" fillId="0" borderId="0" xfId="1" applyNumberFormat="1" applyFont="1" applyAlignment="1">
      <alignment horizontal="center"/>
    </xf>
    <xf numFmtId="10" fontId="0" fillId="0" borderId="0" xfId="0" applyNumberFormat="1"/>
    <xf numFmtId="10" fontId="0" fillId="0" borderId="0" xfId="0" applyNumberFormat="1" applyAlignment="1">
      <alignment horizontal="center"/>
    </xf>
    <xf numFmtId="0" fontId="0" fillId="0" borderId="0" xfId="0" applyAlignment="1">
      <alignment wrapText="1"/>
    </xf>
    <xf numFmtId="0" fontId="0" fillId="0" borderId="0" xfId="0" applyAlignment="1">
      <alignment vertical="center"/>
    </xf>
    <xf numFmtId="10" fontId="0" fillId="0" borderId="0" xfId="0" applyNumberFormat="1" applyAlignment="1">
      <alignment horizontal="center" vertical="center"/>
    </xf>
    <xf numFmtId="0" fontId="0" fillId="0" borderId="0" xfId="0" applyAlignment="1">
      <alignment vertical="center" wrapText="1"/>
    </xf>
    <xf numFmtId="2" fontId="0" fillId="0" borderId="0" xfId="0" applyNumberFormat="1" applyAlignment="1">
      <alignment horizontal="center"/>
    </xf>
    <xf numFmtId="0" fontId="2" fillId="4" borderId="0" xfId="0" applyFont="1" applyFill="1" applyAlignment="1">
      <alignment horizontal="center"/>
    </xf>
    <xf numFmtId="10" fontId="0" fillId="0" borderId="0" xfId="1" applyNumberFormat="1" applyFont="1" applyAlignment="1">
      <alignment horizontal="right"/>
    </xf>
    <xf numFmtId="2" fontId="0" fillId="0" borderId="0" xfId="0" applyNumberFormat="1"/>
    <xf numFmtId="2" fontId="0" fillId="0" borderId="0" xfId="1" applyNumberFormat="1" applyFont="1"/>
    <xf numFmtId="9" fontId="0" fillId="0" borderId="0" xfId="1" applyFont="1" applyAlignment="1">
      <alignment horizontal="center"/>
    </xf>
    <xf numFmtId="9" fontId="0" fillId="0" borderId="0" xfId="0" applyNumberFormat="1"/>
    <xf numFmtId="0" fontId="2" fillId="5" borderId="0" xfId="0" applyFont="1" applyFill="1"/>
    <xf numFmtId="0" fontId="2" fillId="3" borderId="0" xfId="0" applyFont="1" applyFill="1" applyAlignment="1">
      <alignment horizontal="center"/>
    </xf>
    <xf numFmtId="0" fontId="2" fillId="6" borderId="0" xfId="0" applyFont="1" applyFill="1"/>
    <xf numFmtId="0" fontId="0" fillId="0" borderId="0" xfId="0" applyAlignment="1">
      <alignment horizontal="right"/>
    </xf>
    <xf numFmtId="164" fontId="0" fillId="0" borderId="0" xfId="0" applyNumberFormat="1" applyAlignment="1">
      <alignment horizontal="right"/>
    </xf>
    <xf numFmtId="0" fontId="2" fillId="7" borderId="0" xfId="0" applyFont="1" applyFill="1"/>
    <xf numFmtId="0" fontId="2" fillId="7" borderId="0" xfId="0" applyFont="1" applyFill="1" applyAlignment="1">
      <alignment horizontal="right"/>
    </xf>
    <xf numFmtId="0" fontId="2" fillId="6" borderId="0" xfId="0" applyFont="1" applyFill="1" applyAlignment="1">
      <alignment horizontal="right"/>
    </xf>
    <xf numFmtId="0" fontId="0" fillId="0" borderId="0" xfId="0"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ECC-A272-45F1-BE3F-7E0143FD6C0F}">
  <sheetPr>
    <tabColor rgb="FFFFFF00"/>
  </sheetPr>
  <dimension ref="A1:F38"/>
  <sheetViews>
    <sheetView workbookViewId="0">
      <selection activeCell="C28" sqref="C28"/>
    </sheetView>
  </sheetViews>
  <sheetFormatPr defaultRowHeight="15" x14ac:dyDescent="0.25"/>
  <cols>
    <col min="1" max="1" width="89.42578125" bestFit="1" customWidth="1"/>
    <col min="2" max="2" width="11.140625" bestFit="1" customWidth="1"/>
    <col min="3" max="3" width="18.5703125" style="5" bestFit="1" customWidth="1"/>
    <col min="4" max="4" width="28.42578125" style="5" customWidth="1"/>
    <col min="5" max="5" width="45.28515625" customWidth="1"/>
    <col min="6" max="6" width="58.140625" customWidth="1"/>
  </cols>
  <sheetData>
    <row r="1" spans="1:5" x14ac:dyDescent="0.25">
      <c r="A1" s="1" t="s">
        <v>0</v>
      </c>
      <c r="B1" s="16" t="s">
        <v>3</v>
      </c>
      <c r="C1" s="16" t="s">
        <v>4</v>
      </c>
      <c r="D1" s="16" t="s">
        <v>5</v>
      </c>
      <c r="E1" s="16" t="s">
        <v>6</v>
      </c>
    </row>
    <row r="2" spans="1:5" x14ac:dyDescent="0.25">
      <c r="A2" t="s">
        <v>1</v>
      </c>
    </row>
    <row r="4" spans="1:5" x14ac:dyDescent="0.25">
      <c r="A4" s="6" t="s">
        <v>2</v>
      </c>
      <c r="B4" s="6"/>
      <c r="C4" s="6"/>
      <c r="D4" s="6"/>
      <c r="E4" s="6"/>
    </row>
    <row r="5" spans="1:5" x14ac:dyDescent="0.25">
      <c r="A5" t="s">
        <v>7</v>
      </c>
      <c r="B5" s="2">
        <v>6800</v>
      </c>
      <c r="C5" s="7">
        <v>7200</v>
      </c>
      <c r="D5" s="7">
        <v>7400</v>
      </c>
      <c r="E5" s="5" t="s">
        <v>8</v>
      </c>
    </row>
    <row r="6" spans="1:5" x14ac:dyDescent="0.25">
      <c r="A6" t="s">
        <v>9</v>
      </c>
      <c r="B6" s="2">
        <v>2100</v>
      </c>
      <c r="C6" s="7">
        <v>2170</v>
      </c>
      <c r="D6" s="7">
        <v>2198</v>
      </c>
      <c r="E6" s="5" t="s">
        <v>8</v>
      </c>
    </row>
    <row r="7" spans="1:5" x14ac:dyDescent="0.25">
      <c r="A7" t="s">
        <v>10</v>
      </c>
      <c r="B7" s="2">
        <v>1325</v>
      </c>
      <c r="C7" s="7">
        <v>1636</v>
      </c>
      <c r="D7" s="7">
        <v>1741</v>
      </c>
      <c r="E7" s="5" t="s">
        <v>8</v>
      </c>
    </row>
    <row r="8" spans="1:5" x14ac:dyDescent="0.25">
      <c r="A8" t="s">
        <v>11</v>
      </c>
      <c r="B8" s="17">
        <f>B6/B5</f>
        <v>0.30882352941176472</v>
      </c>
      <c r="C8" s="8">
        <f t="shared" ref="C8:D8" si="0">C6/C5</f>
        <v>0.30138888888888887</v>
      </c>
      <c r="D8" s="8">
        <f t="shared" si="0"/>
        <v>0.29702702702702705</v>
      </c>
      <c r="E8" s="5" t="s">
        <v>16</v>
      </c>
    </row>
    <row r="9" spans="1:5" x14ac:dyDescent="0.25">
      <c r="A9" t="s">
        <v>12</v>
      </c>
      <c r="B9" s="17">
        <f>B7/B5</f>
        <v>0.19485294117647059</v>
      </c>
      <c r="C9" s="8">
        <f t="shared" ref="C9:D9" si="1">C7/C5</f>
        <v>0.22722222222222221</v>
      </c>
      <c r="D9" s="8">
        <f t="shared" si="1"/>
        <v>0.23527027027027028</v>
      </c>
      <c r="E9" s="5" t="s">
        <v>16</v>
      </c>
    </row>
    <row r="10" spans="1:5" x14ac:dyDescent="0.25">
      <c r="A10" t="s">
        <v>13</v>
      </c>
      <c r="B10" s="5" t="s">
        <v>14</v>
      </c>
      <c r="C10" s="8">
        <f>(C5-B5)/B5</f>
        <v>5.8823529411764705E-2</v>
      </c>
      <c r="D10" s="8">
        <f>(D5-C5)/C5</f>
        <v>2.7777777777777776E-2</v>
      </c>
      <c r="E10" s="5" t="s">
        <v>16</v>
      </c>
    </row>
    <row r="11" spans="1:5" x14ac:dyDescent="0.25">
      <c r="A11" t="s">
        <v>15</v>
      </c>
      <c r="B11" s="5" t="s">
        <v>14</v>
      </c>
      <c r="C11" s="8">
        <f>(C7-B7)/B7</f>
        <v>0.23471698113207548</v>
      </c>
      <c r="D11" s="8">
        <f>(D7-C7)/C7</f>
        <v>6.4180929095354528E-2</v>
      </c>
      <c r="E11" s="5" t="s">
        <v>16</v>
      </c>
    </row>
    <row r="13" spans="1:5" x14ac:dyDescent="0.25">
      <c r="A13" s="6" t="s">
        <v>17</v>
      </c>
      <c r="B13" s="6"/>
      <c r="C13" s="6"/>
      <c r="D13" s="6"/>
      <c r="E13" s="6"/>
    </row>
    <row r="15" spans="1:5" x14ac:dyDescent="0.25">
      <c r="A15" t="s">
        <v>19</v>
      </c>
      <c r="B15" s="2">
        <v>3900</v>
      </c>
      <c r="C15" s="7">
        <v>4200</v>
      </c>
      <c r="D15" s="7">
        <v>4500</v>
      </c>
      <c r="E15" s="5" t="s">
        <v>8</v>
      </c>
    </row>
    <row r="16" spans="1:5" x14ac:dyDescent="0.25">
      <c r="A16" t="s">
        <v>18</v>
      </c>
      <c r="B16" s="2">
        <v>2000</v>
      </c>
      <c r="C16" s="7">
        <v>2100</v>
      </c>
      <c r="D16" s="7">
        <v>2100</v>
      </c>
      <c r="E16" s="5" t="s">
        <v>8</v>
      </c>
    </row>
    <row r="17" spans="1:6" x14ac:dyDescent="0.25">
      <c r="A17" t="s">
        <v>20</v>
      </c>
      <c r="B17" s="2">
        <v>900</v>
      </c>
      <c r="C17" s="7">
        <v>900</v>
      </c>
      <c r="D17" s="7">
        <v>800</v>
      </c>
      <c r="E17" s="5" t="s">
        <v>8</v>
      </c>
    </row>
    <row r="18" spans="1:6" x14ac:dyDescent="0.25">
      <c r="A18" t="s">
        <v>21</v>
      </c>
      <c r="B18" s="2">
        <f>SUM(B15:B17)</f>
        <v>6800</v>
      </c>
      <c r="C18" s="7">
        <f t="shared" ref="C18:D18" si="2">SUM(C15:C17)</f>
        <v>7200</v>
      </c>
      <c r="D18" s="7">
        <f t="shared" si="2"/>
        <v>7400</v>
      </c>
      <c r="E18" s="5" t="s">
        <v>16</v>
      </c>
    </row>
    <row r="19" spans="1:6" x14ac:dyDescent="0.25">
      <c r="A19" t="s">
        <v>22</v>
      </c>
      <c r="B19" s="4">
        <f>B15/B$18</f>
        <v>0.57352941176470584</v>
      </c>
      <c r="C19" s="8">
        <f>C15/C$18</f>
        <v>0.58333333333333337</v>
      </c>
      <c r="D19" s="8">
        <f>D15/D$18</f>
        <v>0.60810810810810811</v>
      </c>
      <c r="E19" s="5" t="s">
        <v>16</v>
      </c>
    </row>
    <row r="20" spans="1:6" x14ac:dyDescent="0.25">
      <c r="A20" t="s">
        <v>23</v>
      </c>
      <c r="B20" s="4">
        <f>B16/B$18</f>
        <v>0.29411764705882354</v>
      </c>
      <c r="C20" s="8">
        <f t="shared" ref="C20:D20" si="3">C16/C$18</f>
        <v>0.29166666666666669</v>
      </c>
      <c r="D20" s="8">
        <f t="shared" si="3"/>
        <v>0.28378378378378377</v>
      </c>
      <c r="E20" s="5" t="s">
        <v>16</v>
      </c>
    </row>
    <row r="21" spans="1:6" x14ac:dyDescent="0.25">
      <c r="A21" t="s">
        <v>24</v>
      </c>
      <c r="B21" s="4">
        <f>B17/B$18</f>
        <v>0.13235294117647059</v>
      </c>
      <c r="C21" s="8">
        <f t="shared" ref="C21:D21" si="4">C17/C$18</f>
        <v>0.125</v>
      </c>
      <c r="D21" s="8">
        <f t="shared" si="4"/>
        <v>0.10810810810810811</v>
      </c>
      <c r="E21" s="5" t="s">
        <v>16</v>
      </c>
    </row>
    <row r="22" spans="1:6" x14ac:dyDescent="0.25">
      <c r="B22" s="4"/>
      <c r="C22" s="8"/>
      <c r="D22" s="8"/>
      <c r="E22" s="5"/>
    </row>
    <row r="23" spans="1:6" x14ac:dyDescent="0.25">
      <c r="A23" s="6" t="s">
        <v>25</v>
      </c>
      <c r="B23" s="6"/>
      <c r="C23" s="6"/>
      <c r="D23" s="6"/>
      <c r="E23" s="6"/>
    </row>
    <row r="24" spans="1:6" ht="42" customHeight="1" x14ac:dyDescent="0.25">
      <c r="A24" s="11" t="s">
        <v>55</v>
      </c>
    </row>
    <row r="25" spans="1:6" x14ac:dyDescent="0.25">
      <c r="A25" t="s">
        <v>26</v>
      </c>
      <c r="B25" t="s">
        <v>27</v>
      </c>
      <c r="C25" s="5" t="s">
        <v>28</v>
      </c>
      <c r="E25" s="5" t="s">
        <v>29</v>
      </c>
    </row>
    <row r="26" spans="1:6" x14ac:dyDescent="0.25">
      <c r="A26" s="12" t="s">
        <v>30</v>
      </c>
      <c r="B26" s="13">
        <v>3.5000000000000003E-2</v>
      </c>
      <c r="C26" s="13">
        <v>2.8000000000000001E-2</v>
      </c>
      <c r="D26" s="14"/>
      <c r="E26" s="14" t="s">
        <v>31</v>
      </c>
      <c r="F26" s="11"/>
    </row>
    <row r="27" spans="1:6" x14ac:dyDescent="0.25">
      <c r="A27" t="s">
        <v>32</v>
      </c>
      <c r="B27" s="2">
        <f>D5*(1+B26)</f>
        <v>7658.9999999999991</v>
      </c>
      <c r="C27" s="7">
        <f>D5*(1+C26)</f>
        <v>7607.2</v>
      </c>
      <c r="D27"/>
      <c r="E27" t="s">
        <v>33</v>
      </c>
    </row>
    <row r="28" spans="1:6" ht="27.75" customHeight="1" x14ac:dyDescent="0.25">
      <c r="A28" t="s">
        <v>34</v>
      </c>
      <c r="B28" s="9">
        <v>0.30499999999999999</v>
      </c>
      <c r="C28" s="10">
        <v>0.29799999999999999</v>
      </c>
      <c r="D28" s="11"/>
      <c r="E28" s="11" t="s">
        <v>35</v>
      </c>
    </row>
    <row r="29" spans="1:6" x14ac:dyDescent="0.25">
      <c r="A29" t="s">
        <v>36</v>
      </c>
      <c r="B29" s="2">
        <f>B27*B28</f>
        <v>2335.9949999999999</v>
      </c>
      <c r="C29" s="7">
        <f>C27*C28</f>
        <v>2266.9456</v>
      </c>
      <c r="D29"/>
      <c r="E29" t="s">
        <v>37</v>
      </c>
    </row>
    <row r="30" spans="1:6" ht="30" x14ac:dyDescent="0.25">
      <c r="A30" t="s">
        <v>38</v>
      </c>
      <c r="B30" s="10">
        <v>0.24</v>
      </c>
      <c r="C30" s="10">
        <v>0.23499999999999999</v>
      </c>
      <c r="D30" s="11"/>
      <c r="E30" s="11" t="s">
        <v>35</v>
      </c>
    </row>
    <row r="31" spans="1:6" x14ac:dyDescent="0.25">
      <c r="A31" t="s">
        <v>39</v>
      </c>
      <c r="B31" s="15">
        <f>B27*B30</f>
        <v>1838.1599999999996</v>
      </c>
      <c r="C31" s="15">
        <f>C27*C30</f>
        <v>1787.6919999999998</v>
      </c>
      <c r="D31"/>
      <c r="E31" t="s">
        <v>40</v>
      </c>
    </row>
    <row r="33" spans="1:6" x14ac:dyDescent="0.25">
      <c r="A33" s="6" t="s">
        <v>41</v>
      </c>
      <c r="B33" s="6"/>
      <c r="C33" s="6"/>
      <c r="D33" s="6"/>
      <c r="E33" s="6"/>
    </row>
    <row r="34" spans="1:6" x14ac:dyDescent="0.25">
      <c r="A34" t="s">
        <v>42</v>
      </c>
      <c r="B34" s="5" t="s">
        <v>5</v>
      </c>
      <c r="C34" t="s">
        <v>43</v>
      </c>
      <c r="D34" t="s">
        <v>44</v>
      </c>
      <c r="E34" t="s">
        <v>45</v>
      </c>
    </row>
    <row r="35" spans="1:6" ht="30" x14ac:dyDescent="0.25">
      <c r="A35" t="s">
        <v>46</v>
      </c>
      <c r="B35" s="2">
        <v>4500</v>
      </c>
      <c r="C35" s="7">
        <v>4800</v>
      </c>
      <c r="D35" s="7">
        <v>4650</v>
      </c>
      <c r="E35" s="11" t="s">
        <v>49</v>
      </c>
      <c r="F35" s="11" t="s">
        <v>52</v>
      </c>
    </row>
    <row r="36" spans="1:6" x14ac:dyDescent="0.25">
      <c r="A36" t="s">
        <v>47</v>
      </c>
      <c r="B36" s="2">
        <v>2100</v>
      </c>
      <c r="C36" s="7">
        <v>2150</v>
      </c>
      <c r="D36" s="7">
        <v>2080</v>
      </c>
      <c r="E36" t="s">
        <v>50</v>
      </c>
      <c r="F36" t="s">
        <v>53</v>
      </c>
    </row>
    <row r="37" spans="1:6" x14ac:dyDescent="0.25">
      <c r="A37" t="s">
        <v>20</v>
      </c>
      <c r="B37" s="2">
        <v>800</v>
      </c>
      <c r="C37" s="7">
        <v>820</v>
      </c>
      <c r="D37" s="7">
        <v>780</v>
      </c>
      <c r="E37" t="s">
        <v>51</v>
      </c>
      <c r="F37" t="s">
        <v>54</v>
      </c>
    </row>
    <row r="38" spans="1:6" x14ac:dyDescent="0.25">
      <c r="A38" t="s">
        <v>48</v>
      </c>
      <c r="B38" s="2">
        <f>SUM(B35:B37)</f>
        <v>7400</v>
      </c>
      <c r="C38" s="7">
        <f t="shared" ref="C38:D38" si="5">SUM(C35:C37)</f>
        <v>7770</v>
      </c>
      <c r="D38" s="7">
        <f t="shared" si="5"/>
        <v>7510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C08D1-E332-4CDB-8F5B-1479B960800A}">
  <sheetPr>
    <tabColor theme="9" tint="0.39997558519241921"/>
  </sheetPr>
  <dimension ref="A1:H21"/>
  <sheetViews>
    <sheetView workbookViewId="0">
      <selection activeCell="D24" sqref="D24"/>
    </sheetView>
  </sheetViews>
  <sheetFormatPr defaultRowHeight="15" x14ac:dyDescent="0.25"/>
  <cols>
    <col min="1" max="1" width="36.28515625" bestFit="1" customWidth="1"/>
    <col min="2" max="2" width="11.140625" bestFit="1" customWidth="1"/>
    <col min="4" max="4" width="11.42578125" bestFit="1" customWidth="1"/>
    <col min="5" max="5" width="20.85546875" bestFit="1" customWidth="1"/>
    <col min="6" max="6" width="22" bestFit="1" customWidth="1"/>
    <col min="7" max="7" width="15.42578125" bestFit="1" customWidth="1"/>
    <col min="8" max="8" width="38.85546875" bestFit="1" customWidth="1"/>
  </cols>
  <sheetData>
    <row r="1" spans="1:8" x14ac:dyDescent="0.25">
      <c r="A1" s="22" t="s">
        <v>56</v>
      </c>
    </row>
    <row r="2" spans="1:8" x14ac:dyDescent="0.25">
      <c r="A2" t="s">
        <v>57</v>
      </c>
    </row>
    <row r="4" spans="1:8" x14ac:dyDescent="0.25">
      <c r="A4" s="24" t="s">
        <v>58</v>
      </c>
      <c r="B4" s="24" t="s">
        <v>4</v>
      </c>
      <c r="C4" s="24" t="s">
        <v>5</v>
      </c>
      <c r="D4" s="24" t="s">
        <v>43</v>
      </c>
      <c r="E4" s="24" t="s">
        <v>59</v>
      </c>
      <c r="F4" s="24" t="s">
        <v>60</v>
      </c>
      <c r="G4" s="24" t="s">
        <v>61</v>
      </c>
      <c r="H4" s="24" t="s">
        <v>62</v>
      </c>
    </row>
    <row r="5" spans="1:8" x14ac:dyDescent="0.25">
      <c r="A5" s="6" t="s">
        <v>63</v>
      </c>
      <c r="B5" s="6"/>
      <c r="C5" s="6"/>
      <c r="D5" s="6"/>
      <c r="E5" s="6"/>
      <c r="F5" s="6"/>
      <c r="G5" s="6"/>
      <c r="H5" s="6"/>
    </row>
    <row r="6" spans="1:8" ht="30" x14ac:dyDescent="0.25">
      <c r="A6" t="s">
        <v>7</v>
      </c>
      <c r="B6" s="2">
        <f>ASSUMPTIONS!C5</f>
        <v>7200</v>
      </c>
      <c r="C6" s="2">
        <f>ASSUMPTIONS!D5</f>
        <v>7400</v>
      </c>
      <c r="D6" s="2">
        <f>ASSUMPTIONS!B27</f>
        <v>7658.9999999999991</v>
      </c>
      <c r="E6">
        <f>C6-D6</f>
        <v>-258.99999999999909</v>
      </c>
      <c r="F6" s="20">
        <f>E6/D6</f>
        <v>-3.3816425120772833E-2</v>
      </c>
      <c r="G6">
        <f>C6-B6</f>
        <v>200</v>
      </c>
      <c r="H6" s="11" t="s">
        <v>64</v>
      </c>
    </row>
    <row r="7" spans="1:8" ht="30" x14ac:dyDescent="0.25">
      <c r="A7" t="s">
        <v>65</v>
      </c>
      <c r="B7" s="2">
        <f>ASSUMPTIONS!C15</f>
        <v>4200</v>
      </c>
      <c r="C7" s="2">
        <f>ASSUMPTIONS!D15</f>
        <v>4500</v>
      </c>
      <c r="D7" s="2">
        <f>ASSUMPTIONS!C35</f>
        <v>4800</v>
      </c>
      <c r="E7">
        <f>C7-D7</f>
        <v>-300</v>
      </c>
      <c r="F7" s="20">
        <f>E7/D7</f>
        <v>-6.25E-2</v>
      </c>
      <c r="G7">
        <f>C7-B7</f>
        <v>300</v>
      </c>
      <c r="H7" s="11" t="s">
        <v>66</v>
      </c>
    </row>
    <row r="8" spans="1:8" x14ac:dyDescent="0.25">
      <c r="A8" t="s">
        <v>67</v>
      </c>
      <c r="B8" s="2">
        <f>ASSUMPTIONS!C16</f>
        <v>2100</v>
      </c>
      <c r="C8" s="2">
        <f>ASSUMPTIONS!D16</f>
        <v>2100</v>
      </c>
      <c r="D8" s="2">
        <f>ASSUMPTIONS!C36</f>
        <v>2150</v>
      </c>
      <c r="E8">
        <f>C8-D8</f>
        <v>-50</v>
      </c>
      <c r="F8" s="20">
        <f>E8/D8</f>
        <v>-2.3255813953488372E-2</v>
      </c>
      <c r="G8">
        <f>C8-B8</f>
        <v>0</v>
      </c>
      <c r="H8" t="s">
        <v>68</v>
      </c>
    </row>
    <row r="9" spans="1:8" x14ac:dyDescent="0.25">
      <c r="A9" t="s">
        <v>69</v>
      </c>
      <c r="B9" s="2">
        <f>ASSUMPTIONS!C17</f>
        <v>900</v>
      </c>
      <c r="C9" s="2">
        <f>ASSUMPTIONS!D17</f>
        <v>800</v>
      </c>
      <c r="D9" s="2">
        <f>ASSUMPTIONS!C37</f>
        <v>820</v>
      </c>
      <c r="E9">
        <f>C9-D9</f>
        <v>-20</v>
      </c>
      <c r="F9" s="20">
        <f>E9/D9</f>
        <v>-2.4390243902439025E-2</v>
      </c>
      <c r="G9">
        <f>C9-B9</f>
        <v>-100</v>
      </c>
      <c r="H9" t="s">
        <v>70</v>
      </c>
    </row>
    <row r="10" spans="1:8" x14ac:dyDescent="0.25">
      <c r="F10" s="5"/>
    </row>
    <row r="11" spans="1:8" x14ac:dyDescent="0.25">
      <c r="A11" s="6" t="s">
        <v>71</v>
      </c>
      <c r="B11" s="6"/>
      <c r="C11" s="6"/>
      <c r="D11" s="6"/>
      <c r="E11" s="6"/>
      <c r="F11" s="23"/>
      <c r="G11" s="6"/>
      <c r="H11" s="6"/>
    </row>
    <row r="12" spans="1:8" ht="30" x14ac:dyDescent="0.25">
      <c r="A12" t="s">
        <v>9</v>
      </c>
      <c r="B12" s="2">
        <f>ASSUMPTIONS!C6</f>
        <v>2170</v>
      </c>
      <c r="C12" s="2">
        <f>ASSUMPTIONS!D6</f>
        <v>2198</v>
      </c>
      <c r="D12" s="2">
        <f>ASSUMPTIONS!B29</f>
        <v>2335.9949999999999</v>
      </c>
      <c r="E12" s="18">
        <f>C12-D12</f>
        <v>-137.99499999999989</v>
      </c>
      <c r="F12" s="20">
        <f>E12/D12</f>
        <v>-5.9073328495994171E-2</v>
      </c>
      <c r="G12">
        <f>C12-B12</f>
        <v>28</v>
      </c>
      <c r="H12" s="11" t="s">
        <v>72</v>
      </c>
    </row>
    <row r="13" spans="1:8" ht="30" x14ac:dyDescent="0.25">
      <c r="A13" t="s">
        <v>11</v>
      </c>
      <c r="B13" s="9">
        <f>ASSUMPTIONS!C8</f>
        <v>0.30138888888888887</v>
      </c>
      <c r="C13" s="9">
        <f>ASSUMPTIONS!D8</f>
        <v>0.29702702702702705</v>
      </c>
      <c r="D13" s="9">
        <f>ASSUMPTIONS!B28</f>
        <v>0.30499999999999999</v>
      </c>
      <c r="E13" s="9">
        <f>C13-D13</f>
        <v>-7.972972972972947E-3</v>
      </c>
      <c r="F13" s="20"/>
      <c r="G13" s="9">
        <f>C13-B13</f>
        <v>-4.3618618618618266E-3</v>
      </c>
      <c r="H13" s="11" t="s">
        <v>73</v>
      </c>
    </row>
    <row r="14" spans="1:8" ht="30" x14ac:dyDescent="0.25">
      <c r="A14" t="s">
        <v>74</v>
      </c>
      <c r="B14" s="2">
        <f>ASSUMPTIONS!C7</f>
        <v>1636</v>
      </c>
      <c r="C14" s="2">
        <f>ASSUMPTIONS!D7</f>
        <v>1741</v>
      </c>
      <c r="D14" s="2">
        <f>ASSUMPTIONS!B31</f>
        <v>1838.1599999999996</v>
      </c>
      <c r="E14" s="19">
        <f>C14-D14</f>
        <v>-97.159999999999627</v>
      </c>
      <c r="F14" s="20">
        <f>E14/D14</f>
        <v>-5.2857205031117883E-2</v>
      </c>
      <c r="G14" s="2">
        <f>C14-B14</f>
        <v>105</v>
      </c>
      <c r="H14" s="11" t="s">
        <v>75</v>
      </c>
    </row>
    <row r="15" spans="1:8" x14ac:dyDescent="0.25">
      <c r="A15" t="s">
        <v>76</v>
      </c>
      <c r="B15" s="9">
        <f>ASSUMPTIONS!C9</f>
        <v>0.22722222222222221</v>
      </c>
      <c r="C15" s="9">
        <f>ASSUMPTIONS!D9</f>
        <v>0.23527027027027028</v>
      </c>
      <c r="D15" s="9">
        <f>ASSUMPTIONS!B30</f>
        <v>0.24</v>
      </c>
      <c r="E15" s="4">
        <f>C15-D15</f>
        <v>-4.7297297297297092E-3</v>
      </c>
      <c r="F15" s="20">
        <f>E15/D15</f>
        <v>-1.9707207207207124E-2</v>
      </c>
      <c r="G15" s="3">
        <f>C15-B15</f>
        <v>8.0480480480480676E-3</v>
      </c>
      <c r="H15" t="s">
        <v>77</v>
      </c>
    </row>
    <row r="17" spans="1:8" x14ac:dyDescent="0.25">
      <c r="A17" s="6" t="s">
        <v>78</v>
      </c>
      <c r="B17" s="6"/>
      <c r="C17" s="6"/>
      <c r="D17" s="6"/>
      <c r="E17" s="6"/>
      <c r="F17" s="6"/>
      <c r="G17" s="6"/>
      <c r="H17" s="6"/>
    </row>
    <row r="18" spans="1:8" x14ac:dyDescent="0.25">
      <c r="A18" t="s">
        <v>79</v>
      </c>
      <c r="B18">
        <f>E6</f>
        <v>-258.99999999999909</v>
      </c>
      <c r="C18" s="21">
        <f>F6</f>
        <v>-3.3816425120772833E-2</v>
      </c>
    </row>
    <row r="19" spans="1:8" x14ac:dyDescent="0.25">
      <c r="A19" t="s">
        <v>80</v>
      </c>
      <c r="B19" s="2">
        <f>E14</f>
        <v>-97.159999999999627</v>
      </c>
      <c r="C19" s="21">
        <f>F14</f>
        <v>-5.2857205031117883E-2</v>
      </c>
    </row>
    <row r="20" spans="1:8" x14ac:dyDescent="0.25">
      <c r="A20" t="s">
        <v>81</v>
      </c>
      <c r="B20" s="4">
        <f>G6/B6</f>
        <v>2.7777777777777776E-2</v>
      </c>
    </row>
    <row r="21" spans="1:8" x14ac:dyDescent="0.25">
      <c r="A21" t="s">
        <v>82</v>
      </c>
      <c r="B21" s="4">
        <f>G14/B14</f>
        <v>6.4180929095354528E-2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903D-6020-4027-B08A-9BEC44B02362}">
  <sheetPr>
    <tabColor theme="3" tint="0.499984740745262"/>
  </sheetPr>
  <dimension ref="A1:J34"/>
  <sheetViews>
    <sheetView tabSelected="1" workbookViewId="0">
      <selection activeCell="K21" sqref="K21"/>
    </sheetView>
  </sheetViews>
  <sheetFormatPr defaultRowHeight="15" x14ac:dyDescent="0.25"/>
  <cols>
    <col min="1" max="1" width="74.140625" bestFit="1" customWidth="1"/>
    <col min="2" max="2" width="16.28515625" bestFit="1" customWidth="1"/>
    <col min="3" max="3" width="16.5703125" bestFit="1" customWidth="1"/>
    <col min="4" max="4" width="18.5703125" bestFit="1" customWidth="1"/>
    <col min="5" max="5" width="34.7109375" bestFit="1" customWidth="1"/>
    <col min="6" max="6" width="12.28515625" bestFit="1" customWidth="1"/>
  </cols>
  <sheetData>
    <row r="1" spans="1:10" x14ac:dyDescent="0.25">
      <c r="A1" s="22" t="s">
        <v>83</v>
      </c>
    </row>
    <row r="2" spans="1:10" x14ac:dyDescent="0.25">
      <c r="A2" t="s">
        <v>84</v>
      </c>
    </row>
    <row r="4" spans="1:10" x14ac:dyDescent="0.25">
      <c r="A4" s="24" t="s">
        <v>85</v>
      </c>
      <c r="B4" s="29" t="s">
        <v>3</v>
      </c>
      <c r="C4" s="29" t="s">
        <v>4</v>
      </c>
      <c r="D4" s="29" t="s">
        <v>5</v>
      </c>
      <c r="E4" s="29" t="s">
        <v>43</v>
      </c>
      <c r="F4" s="29" t="s">
        <v>86</v>
      </c>
    </row>
    <row r="5" spans="1:10" x14ac:dyDescent="0.25">
      <c r="A5" s="27" t="s">
        <v>87</v>
      </c>
      <c r="B5" s="28"/>
      <c r="C5" s="28"/>
      <c r="D5" s="28"/>
      <c r="E5" s="28"/>
      <c r="F5" s="28"/>
    </row>
    <row r="6" spans="1:10" x14ac:dyDescent="0.25">
      <c r="A6" t="s">
        <v>46</v>
      </c>
      <c r="B6" s="26">
        <f>ASSUMPTIONS!B15</f>
        <v>3900</v>
      </c>
      <c r="C6" s="26">
        <f>ASSUMPTIONS!C15</f>
        <v>4200</v>
      </c>
      <c r="D6" s="26">
        <f>ASSUMPTIONS!D15</f>
        <v>4500</v>
      </c>
      <c r="E6" s="26">
        <f>ASSUMPTIONS!C35</f>
        <v>4800</v>
      </c>
      <c r="F6" s="17">
        <f>(D6/B6)^(1/3)-1</f>
        <v>4.8856246288386806E-2</v>
      </c>
    </row>
    <row r="7" spans="1:10" x14ac:dyDescent="0.25">
      <c r="A7" t="s">
        <v>47</v>
      </c>
      <c r="B7" s="26">
        <f>ASSUMPTIONS!B16</f>
        <v>2000</v>
      </c>
      <c r="C7" s="26">
        <f>ASSUMPTIONS!C16</f>
        <v>2100</v>
      </c>
      <c r="D7" s="26">
        <f>ASSUMPTIONS!D16</f>
        <v>2100</v>
      </c>
      <c r="E7" s="26">
        <f>ASSUMPTIONS!C36</f>
        <v>2150</v>
      </c>
      <c r="F7" s="17">
        <f>(D7/B7)^(1/3)-1</f>
        <v>1.6396356814853519E-2</v>
      </c>
    </row>
    <row r="8" spans="1:10" x14ac:dyDescent="0.25">
      <c r="A8" t="s">
        <v>20</v>
      </c>
      <c r="B8" s="26">
        <f>ASSUMPTIONS!B17</f>
        <v>900</v>
      </c>
      <c r="C8" s="26">
        <f>ASSUMPTIONS!C17</f>
        <v>900</v>
      </c>
      <c r="D8" s="26">
        <f>ASSUMPTIONS!D17</f>
        <v>800</v>
      </c>
      <c r="E8" s="26">
        <f>ASSUMPTIONS!C37</f>
        <v>820</v>
      </c>
      <c r="F8" s="17">
        <f>(D8/B8)^(1/3)-1</f>
        <v>-3.8500286461727762E-2</v>
      </c>
    </row>
    <row r="9" spans="1:10" x14ac:dyDescent="0.25">
      <c r="A9" t="s">
        <v>88</v>
      </c>
      <c r="B9" s="2">
        <f>SUM(B6:B8)</f>
        <v>6800</v>
      </c>
      <c r="C9" s="2">
        <f t="shared" ref="C9:D9" si="0">SUM(C6:C8)</f>
        <v>7200</v>
      </c>
      <c r="D9" s="2">
        <f t="shared" si="0"/>
        <v>7400</v>
      </c>
      <c r="E9" s="2">
        <f>SUM(E6:E8)</f>
        <v>7770</v>
      </c>
      <c r="F9" s="3">
        <f>SUM(F6:F8)</f>
        <v>2.6752316641512563E-2</v>
      </c>
    </row>
    <row r="11" spans="1:10" x14ac:dyDescent="0.25">
      <c r="A11" s="27" t="s">
        <v>89</v>
      </c>
      <c r="B11" s="27"/>
      <c r="C11" s="27"/>
      <c r="D11" s="27"/>
      <c r="E11" s="27"/>
      <c r="F11" s="27"/>
    </row>
    <row r="12" spans="1:10" x14ac:dyDescent="0.25">
      <c r="A12" t="s">
        <v>90</v>
      </c>
      <c r="B12" s="4">
        <f>B6/B$9</f>
        <v>0.57352941176470584</v>
      </c>
      <c r="C12" s="4">
        <f t="shared" ref="C12:E12" si="1">C6/C$9</f>
        <v>0.58333333333333337</v>
      </c>
      <c r="D12" s="4">
        <f t="shared" si="1"/>
        <v>0.60810810810810811</v>
      </c>
      <c r="E12" s="4">
        <f t="shared" si="1"/>
        <v>0.61776061776061775</v>
      </c>
    </row>
    <row r="13" spans="1:10" x14ac:dyDescent="0.25">
      <c r="A13" t="s">
        <v>91</v>
      </c>
      <c r="B13" s="4">
        <f t="shared" ref="B13:E14" si="2">B7/B$9</f>
        <v>0.29411764705882354</v>
      </c>
      <c r="C13" s="4">
        <f t="shared" si="2"/>
        <v>0.29166666666666669</v>
      </c>
      <c r="D13" s="4">
        <f t="shared" si="2"/>
        <v>0.28378378378378377</v>
      </c>
      <c r="E13" s="4">
        <f t="shared" si="2"/>
        <v>0.27670527670527673</v>
      </c>
      <c r="J13" s="9"/>
    </row>
    <row r="14" spans="1:10" x14ac:dyDescent="0.25">
      <c r="A14" t="s">
        <v>92</v>
      </c>
      <c r="B14" s="4">
        <f t="shared" si="2"/>
        <v>0.13235294117647059</v>
      </c>
      <c r="C14" s="4">
        <f t="shared" si="2"/>
        <v>0.125</v>
      </c>
      <c r="D14" s="4">
        <f t="shared" si="2"/>
        <v>0.10810810810810811</v>
      </c>
      <c r="E14" s="4">
        <f t="shared" si="2"/>
        <v>0.10553410553410554</v>
      </c>
    </row>
    <row r="15" spans="1:10" x14ac:dyDescent="0.25">
      <c r="A15" t="s">
        <v>93</v>
      </c>
      <c r="B15" s="9">
        <f>SUM(B12:B14)</f>
        <v>1</v>
      </c>
      <c r="C15" s="9">
        <f t="shared" ref="C15:E15" si="3">SUM(C12:C14)</f>
        <v>1</v>
      </c>
      <c r="D15" s="9">
        <f t="shared" si="3"/>
        <v>1</v>
      </c>
      <c r="E15" s="9">
        <f t="shared" si="3"/>
        <v>1</v>
      </c>
    </row>
    <row r="17" spans="1:6" x14ac:dyDescent="0.25">
      <c r="A17" s="27" t="s">
        <v>94</v>
      </c>
      <c r="B17" s="27"/>
      <c r="C17" s="27"/>
      <c r="D17" s="27"/>
      <c r="E17" s="27"/>
      <c r="F17" s="27"/>
    </row>
    <row r="18" spans="1:6" x14ac:dyDescent="0.25">
      <c r="A18" t="s">
        <v>95</v>
      </c>
      <c r="B18" s="30" t="s">
        <v>14</v>
      </c>
      <c r="C18" s="4">
        <f>(C6-B6)/B6</f>
        <v>7.6923076923076927E-2</v>
      </c>
      <c r="D18" s="4">
        <f t="shared" ref="D18:E18" si="4">(D6-C6)/C6</f>
        <v>7.1428571428571425E-2</v>
      </c>
      <c r="E18" s="4">
        <f t="shared" si="4"/>
        <v>6.6666666666666666E-2</v>
      </c>
    </row>
    <row r="19" spans="1:6" x14ac:dyDescent="0.25">
      <c r="A19" t="s">
        <v>96</v>
      </c>
      <c r="B19" s="30" t="s">
        <v>14</v>
      </c>
      <c r="C19" s="4">
        <f t="shared" ref="C19:E19" si="5">(C7-B7)/B7</f>
        <v>0.05</v>
      </c>
      <c r="D19" s="4">
        <f t="shared" si="5"/>
        <v>0</v>
      </c>
      <c r="E19" s="4">
        <f t="shared" si="5"/>
        <v>2.3809523809523808E-2</v>
      </c>
    </row>
    <row r="20" spans="1:6" x14ac:dyDescent="0.25">
      <c r="A20" t="s">
        <v>97</v>
      </c>
      <c r="B20" s="30" t="s">
        <v>14</v>
      </c>
      <c r="C20" s="4">
        <f>(C8-B8)/B8</f>
        <v>0</v>
      </c>
      <c r="D20" s="4">
        <f t="shared" ref="D20:E20" si="6">(D8-C8)/C8</f>
        <v>-0.1111111111111111</v>
      </c>
      <c r="E20" s="4">
        <f t="shared" si="6"/>
        <v>2.5000000000000001E-2</v>
      </c>
    </row>
    <row r="21" spans="1:6" x14ac:dyDescent="0.25">
      <c r="A21" t="s">
        <v>98</v>
      </c>
      <c r="B21" s="30" t="s">
        <v>14</v>
      </c>
      <c r="C21" s="4">
        <f>(C9-B9)/B9</f>
        <v>5.8823529411764705E-2</v>
      </c>
      <c r="D21" s="4">
        <f t="shared" ref="D21:E21" si="7">(D9-C9)/C9</f>
        <v>2.7777777777777776E-2</v>
      </c>
      <c r="E21" s="4">
        <f t="shared" si="7"/>
        <v>0.05</v>
      </c>
    </row>
    <row r="23" spans="1:6" x14ac:dyDescent="0.25">
      <c r="A23" s="27" t="s">
        <v>99</v>
      </c>
      <c r="B23" s="27"/>
      <c r="C23" s="27"/>
      <c r="D23" s="27"/>
      <c r="E23" s="27"/>
      <c r="F23" s="27"/>
    </row>
    <row r="24" spans="1:6" x14ac:dyDescent="0.25">
      <c r="A24" t="s">
        <v>42</v>
      </c>
      <c r="B24" s="30" t="s">
        <v>114</v>
      </c>
      <c r="C24" t="s">
        <v>115</v>
      </c>
      <c r="D24" t="s">
        <v>113</v>
      </c>
    </row>
    <row r="25" spans="1:6" x14ac:dyDescent="0.25">
      <c r="A25" t="s">
        <v>100</v>
      </c>
      <c r="B25" s="2">
        <f>C6-B6</f>
        <v>300</v>
      </c>
      <c r="C25" s="2">
        <f>D6-C6</f>
        <v>300</v>
      </c>
      <c r="D25" s="3">
        <f>C25/C28</f>
        <v>1.5</v>
      </c>
      <c r="E25" s="2"/>
    </row>
    <row r="26" spans="1:6" x14ac:dyDescent="0.25">
      <c r="A26" t="s">
        <v>101</v>
      </c>
      <c r="B26" s="2">
        <f t="shared" ref="B26:C28" si="8">C7-B7</f>
        <v>100</v>
      </c>
      <c r="C26" s="2">
        <f t="shared" si="8"/>
        <v>0</v>
      </c>
      <c r="D26" s="3">
        <f>C26/C28</f>
        <v>0</v>
      </c>
      <c r="E26" s="2"/>
    </row>
    <row r="27" spans="1:6" x14ac:dyDescent="0.25">
      <c r="A27" t="s">
        <v>102</v>
      </c>
      <c r="B27" s="2">
        <f t="shared" si="8"/>
        <v>0</v>
      </c>
      <c r="C27" s="2">
        <f t="shared" si="8"/>
        <v>-100</v>
      </c>
      <c r="D27" s="3">
        <f>C27/C28</f>
        <v>-0.5</v>
      </c>
      <c r="E27" s="2"/>
    </row>
    <row r="28" spans="1:6" x14ac:dyDescent="0.25">
      <c r="A28" t="s">
        <v>103</v>
      </c>
      <c r="B28" s="2">
        <f t="shared" si="8"/>
        <v>400</v>
      </c>
      <c r="C28" s="2">
        <f t="shared" si="8"/>
        <v>200</v>
      </c>
      <c r="D28" s="3">
        <f>SUM(D25:D27)</f>
        <v>1</v>
      </c>
      <c r="E28" s="2"/>
    </row>
    <row r="30" spans="1:6" x14ac:dyDescent="0.25">
      <c r="A30" s="27" t="s">
        <v>104</v>
      </c>
      <c r="B30" s="27"/>
      <c r="C30" s="27"/>
      <c r="D30" s="27"/>
      <c r="E30" s="27"/>
      <c r="F30" s="27"/>
    </row>
    <row r="31" spans="1:6" x14ac:dyDescent="0.25">
      <c r="A31" t="s">
        <v>105</v>
      </c>
      <c r="B31" s="25" t="s">
        <v>100</v>
      </c>
      <c r="C31" s="25" t="s">
        <v>100</v>
      </c>
      <c r="D31" s="25" t="s">
        <v>100</v>
      </c>
      <c r="E31" s="25" t="s">
        <v>100</v>
      </c>
    </row>
    <row r="32" spans="1:6" x14ac:dyDescent="0.25">
      <c r="A32" t="s">
        <v>106</v>
      </c>
      <c r="B32" s="25"/>
      <c r="C32" s="25"/>
      <c r="D32" t="s">
        <v>112</v>
      </c>
      <c r="E32" t="s">
        <v>111</v>
      </c>
    </row>
    <row r="33" spans="1:5" x14ac:dyDescent="0.25">
      <c r="A33" t="s">
        <v>107</v>
      </c>
      <c r="D33" t="s">
        <v>112</v>
      </c>
      <c r="E33" t="s">
        <v>111</v>
      </c>
    </row>
    <row r="34" spans="1:5" x14ac:dyDescent="0.25">
      <c r="A34" t="s">
        <v>108</v>
      </c>
      <c r="D34" t="s">
        <v>110</v>
      </c>
      <c r="E34"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5C4D-ECE3-4FC7-98FC-4E3B33839453}">
  <sheetPr>
    <tabColor rgb="FF7030A0"/>
  </sheetPr>
  <dimension ref="A1:A23"/>
  <sheetViews>
    <sheetView topLeftCell="A17" workbookViewId="0">
      <selection activeCell="F8" sqref="F8"/>
    </sheetView>
  </sheetViews>
  <sheetFormatPr defaultRowHeight="15" x14ac:dyDescent="0.25"/>
  <cols>
    <col min="1" max="1" width="79" bestFit="1" customWidth="1"/>
  </cols>
  <sheetData>
    <row r="1" spans="1:1" x14ac:dyDescent="0.25">
      <c r="A1" s="22" t="s">
        <v>116</v>
      </c>
    </row>
    <row r="2" spans="1:1" x14ac:dyDescent="0.25">
      <c r="A2" t="s">
        <v>117</v>
      </c>
    </row>
    <row r="4" spans="1:1" x14ac:dyDescent="0.25">
      <c r="A4" s="27" t="s">
        <v>118</v>
      </c>
    </row>
    <row r="5" spans="1:1" ht="135" x14ac:dyDescent="0.25">
      <c r="A5" s="11" t="s">
        <v>119</v>
      </c>
    </row>
    <row r="7" spans="1:1" x14ac:dyDescent="0.25">
      <c r="A7" s="27" t="s">
        <v>120</v>
      </c>
    </row>
    <row r="8" spans="1:1" ht="165" x14ac:dyDescent="0.25">
      <c r="A8" s="11" t="s">
        <v>121</v>
      </c>
    </row>
    <row r="10" spans="1:1" x14ac:dyDescent="0.25">
      <c r="A10" s="27" t="s">
        <v>122</v>
      </c>
    </row>
    <row r="11" spans="1:1" ht="150" x14ac:dyDescent="0.25">
      <c r="A11" s="11" t="s">
        <v>123</v>
      </c>
    </row>
    <row r="13" spans="1:1" x14ac:dyDescent="0.25">
      <c r="A13" s="27" t="s">
        <v>124</v>
      </c>
    </row>
    <row r="14" spans="1:1" ht="180" x14ac:dyDescent="0.25">
      <c r="A14" s="11" t="s">
        <v>125</v>
      </c>
    </row>
    <row r="16" spans="1:1" x14ac:dyDescent="0.25">
      <c r="A16" s="27" t="s">
        <v>126</v>
      </c>
    </row>
    <row r="17" spans="1:1" ht="195" x14ac:dyDescent="0.25">
      <c r="A17" s="11" t="s">
        <v>127</v>
      </c>
    </row>
    <row r="19" spans="1:1" x14ac:dyDescent="0.25">
      <c r="A19" s="27" t="s">
        <v>128</v>
      </c>
    </row>
    <row r="20" spans="1:1" ht="195" x14ac:dyDescent="0.25">
      <c r="A20" s="11" t="s">
        <v>129</v>
      </c>
    </row>
    <row r="22" spans="1:1" x14ac:dyDescent="0.25">
      <c r="A22" s="27" t="s">
        <v>130</v>
      </c>
    </row>
    <row r="23" spans="1:1" ht="60" x14ac:dyDescent="0.25">
      <c r="A23" s="1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ASSUMPTIONS</vt:lpstr>
      <vt:lpstr>VARIANCE ANALYSIS</vt:lpstr>
      <vt:lpstr>SEGMENT PERFORMANCE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Dabi Njere</dc:creator>
  <cp:lastModifiedBy>Dabi Njere</cp:lastModifiedBy>
  <dcterms:created xsi:type="dcterms:W3CDTF">2026-05-04T22:05:00Z</dcterms:created>
  <dcterms:modified xsi:type="dcterms:W3CDTF">2026-05-05T16:49:23Z</dcterms:modified>
</cp:coreProperties>
</file>