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d43ffb156b6104/Documents/"/>
    </mc:Choice>
  </mc:AlternateContent>
  <xr:revisionPtr revIDLastSave="438" documentId="8_{D642AC7A-5F1E-44F9-BA7C-1AE7C5F3651E}" xr6:coauthVersionLast="47" xr6:coauthVersionMax="47" xr10:uidLastSave="{F3A3EDCE-A1A4-4918-B4C3-8A567D81B6E5}"/>
  <bookViews>
    <workbookView xWindow="23310" yWindow="3045" windowWidth="27015" windowHeight="16320" xr2:uid="{F30BFD0E-A95E-4BED-88FA-4004AA3C75D5}"/>
  </bookViews>
  <sheets>
    <sheet name="Assumptions" sheetId="1" r:id="rId1"/>
    <sheet name="Revenue" sheetId="2" r:id="rId2"/>
    <sheet name="Expenses" sheetId="3" r:id="rId3"/>
    <sheet name="Forecast Summary" sheetId="4" r:id="rId4"/>
    <sheet name="Scenari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2" l="1"/>
  <c r="D16" i="2"/>
  <c r="E16" i="2"/>
  <c r="N16" i="2" s="1"/>
  <c r="F16" i="2"/>
  <c r="G16" i="2"/>
  <c r="H16" i="2"/>
  <c r="I16" i="2"/>
  <c r="J16" i="2"/>
  <c r="K16" i="2"/>
  <c r="L16" i="2"/>
  <c r="M16" i="2"/>
  <c r="B16" i="2"/>
  <c r="D23" i="5"/>
  <c r="C23" i="5"/>
  <c r="D9" i="5"/>
  <c r="B9" i="5"/>
  <c r="D22" i="5"/>
  <c r="C22" i="5"/>
  <c r="E18" i="5"/>
  <c r="C18" i="5"/>
  <c r="D18" i="5"/>
  <c r="B18" i="5"/>
  <c r="E17" i="5"/>
  <c r="E14" i="5"/>
  <c r="C14" i="5"/>
  <c r="D14" i="5"/>
  <c r="B14" i="5"/>
  <c r="E13" i="5"/>
  <c r="D13" i="5"/>
  <c r="C13" i="5"/>
  <c r="B13" i="5"/>
  <c r="E12" i="5"/>
  <c r="E7" i="5"/>
  <c r="D8" i="5"/>
  <c r="B8" i="5"/>
  <c r="N16" i="4"/>
  <c r="B21" i="4"/>
  <c r="C16" i="4"/>
  <c r="D16" i="4"/>
  <c r="E16" i="4"/>
  <c r="F16" i="4"/>
  <c r="G16" i="4"/>
  <c r="H16" i="4"/>
  <c r="I16" i="4"/>
  <c r="J16" i="4"/>
  <c r="K16" i="4"/>
  <c r="L16" i="4"/>
  <c r="M16" i="4"/>
  <c r="B16" i="4"/>
  <c r="H13" i="4"/>
  <c r="H12" i="4"/>
  <c r="N7" i="4"/>
  <c r="L9" i="4"/>
  <c r="L10" i="4" s="1"/>
  <c r="C7" i="4"/>
  <c r="D7" i="4"/>
  <c r="E7" i="4"/>
  <c r="F7" i="4"/>
  <c r="G7" i="4"/>
  <c r="H7" i="4"/>
  <c r="I7" i="4"/>
  <c r="J7" i="4"/>
  <c r="K7" i="4"/>
  <c r="L7" i="4"/>
  <c r="M7" i="4"/>
  <c r="B7" i="4"/>
  <c r="A2" i="4"/>
  <c r="C17" i="3"/>
  <c r="D17" i="3"/>
  <c r="E17" i="3"/>
  <c r="F17" i="3"/>
  <c r="G17" i="3"/>
  <c r="H17" i="3"/>
  <c r="I17" i="3"/>
  <c r="J17" i="3"/>
  <c r="K17" i="3"/>
  <c r="L17" i="3"/>
  <c r="M17" i="3"/>
  <c r="C15" i="3"/>
  <c r="N15" i="3" s="1"/>
  <c r="D15" i="3"/>
  <c r="E15" i="3"/>
  <c r="F15" i="3"/>
  <c r="G15" i="3"/>
  <c r="H15" i="3"/>
  <c r="I15" i="3"/>
  <c r="J15" i="3"/>
  <c r="K15" i="3"/>
  <c r="L15" i="3"/>
  <c r="M15" i="3"/>
  <c r="C14" i="3"/>
  <c r="D14" i="3"/>
  <c r="E14" i="3"/>
  <c r="F14" i="3"/>
  <c r="G14" i="3"/>
  <c r="H14" i="3"/>
  <c r="I14" i="3"/>
  <c r="J14" i="3"/>
  <c r="K14" i="3"/>
  <c r="L14" i="3"/>
  <c r="M14" i="3"/>
  <c r="C13" i="3"/>
  <c r="D13" i="3"/>
  <c r="E13" i="3"/>
  <c r="F13" i="3"/>
  <c r="G13" i="3"/>
  <c r="H13" i="3"/>
  <c r="I13" i="3"/>
  <c r="J13" i="3"/>
  <c r="K13" i="3"/>
  <c r="L13" i="3"/>
  <c r="M13" i="3"/>
  <c r="N12" i="3"/>
  <c r="N13" i="3"/>
  <c r="N14" i="3"/>
  <c r="N17" i="3"/>
  <c r="C12" i="3"/>
  <c r="D12" i="3"/>
  <c r="E12" i="3"/>
  <c r="F12" i="3"/>
  <c r="G12" i="3"/>
  <c r="H12" i="3"/>
  <c r="I12" i="3"/>
  <c r="J12" i="3"/>
  <c r="K12" i="3"/>
  <c r="L12" i="3"/>
  <c r="M12" i="3"/>
  <c r="B14" i="3"/>
  <c r="B13" i="3"/>
  <c r="B12" i="3"/>
  <c r="N11" i="3"/>
  <c r="C11" i="3"/>
  <c r="D11" i="3"/>
  <c r="E11" i="3"/>
  <c r="F11" i="3"/>
  <c r="G11" i="3"/>
  <c r="H11" i="3"/>
  <c r="I11" i="3"/>
  <c r="J11" i="3"/>
  <c r="K11" i="3"/>
  <c r="L11" i="3"/>
  <c r="M11" i="3"/>
  <c r="B11" i="3"/>
  <c r="N6" i="3"/>
  <c r="N7" i="3"/>
  <c r="C8" i="3"/>
  <c r="D8" i="3"/>
  <c r="E8" i="3"/>
  <c r="F8" i="3"/>
  <c r="G8" i="3"/>
  <c r="H8" i="3"/>
  <c r="I8" i="3"/>
  <c r="J8" i="3"/>
  <c r="K8" i="3"/>
  <c r="L8" i="3"/>
  <c r="M8" i="3"/>
  <c r="B8" i="3"/>
  <c r="C7" i="3"/>
  <c r="D7" i="3"/>
  <c r="E7" i="3"/>
  <c r="F7" i="3"/>
  <c r="G7" i="3"/>
  <c r="H7" i="3"/>
  <c r="I7" i="3"/>
  <c r="J7" i="3"/>
  <c r="K7" i="3"/>
  <c r="L7" i="3"/>
  <c r="M7" i="3"/>
  <c r="B7" i="3"/>
  <c r="C6" i="3"/>
  <c r="D6" i="3"/>
  <c r="E6" i="3"/>
  <c r="F6" i="3"/>
  <c r="G6" i="3"/>
  <c r="H6" i="3"/>
  <c r="I6" i="3"/>
  <c r="J6" i="3"/>
  <c r="K6" i="3"/>
  <c r="L6" i="3"/>
  <c r="M6" i="3"/>
  <c r="B6" i="3"/>
  <c r="C11" i="2"/>
  <c r="C13" i="2" s="1"/>
  <c r="C6" i="4" s="1"/>
  <c r="C13" i="4" s="1"/>
  <c r="D11" i="2"/>
  <c r="D13" i="2" s="1"/>
  <c r="D6" i="4" s="1"/>
  <c r="D12" i="4" s="1"/>
  <c r="E11" i="2"/>
  <c r="E13" i="2" s="1"/>
  <c r="F11" i="2"/>
  <c r="F13" i="2" s="1"/>
  <c r="G11" i="2"/>
  <c r="G13" i="2" s="1"/>
  <c r="G6" i="4" s="1"/>
  <c r="G12" i="4" s="1"/>
  <c r="H11" i="2"/>
  <c r="H13" i="2" s="1"/>
  <c r="H6" i="4" s="1"/>
  <c r="H9" i="4" s="1"/>
  <c r="H10" i="4" s="1"/>
  <c r="I11" i="2"/>
  <c r="I13" i="2" s="1"/>
  <c r="J11" i="2"/>
  <c r="J13" i="2" s="1"/>
  <c r="J6" i="4" s="1"/>
  <c r="J17" i="4" s="1"/>
  <c r="K11" i="2"/>
  <c r="K13" i="2" s="1"/>
  <c r="L11" i="2"/>
  <c r="L13" i="2" s="1"/>
  <c r="L6" i="4" s="1"/>
  <c r="L17" i="4" s="1"/>
  <c r="M11" i="2"/>
  <c r="M13" i="2" s="1"/>
  <c r="M6" i="4" s="1"/>
  <c r="M13" i="4" s="1"/>
  <c r="B11" i="2"/>
  <c r="B13" i="2" s="1"/>
  <c r="B6" i="4" s="1"/>
  <c r="B13" i="4" s="1"/>
  <c r="N5" i="2"/>
  <c r="N6" i="2"/>
  <c r="N7" i="2"/>
  <c r="N8" i="2"/>
  <c r="N10" i="2"/>
  <c r="C10" i="2"/>
  <c r="D10" i="2"/>
  <c r="E10" i="2"/>
  <c r="F10" i="2"/>
  <c r="G10" i="2"/>
  <c r="H10" i="2"/>
  <c r="I10" i="2"/>
  <c r="J10" i="2"/>
  <c r="K10" i="2"/>
  <c r="L10" i="2"/>
  <c r="M10" i="2"/>
  <c r="B10" i="2"/>
  <c r="C8" i="2"/>
  <c r="B8" i="2"/>
  <c r="B7" i="2"/>
  <c r="C5" i="2" s="1"/>
  <c r="C6" i="2"/>
  <c r="D6" i="2"/>
  <c r="E6" i="2"/>
  <c r="F6" i="2"/>
  <c r="G6" i="2"/>
  <c r="H6" i="2"/>
  <c r="I6" i="2"/>
  <c r="J6" i="2"/>
  <c r="K6" i="2"/>
  <c r="L6" i="2"/>
  <c r="M6" i="2"/>
  <c r="B6" i="2"/>
  <c r="B5" i="2"/>
  <c r="H17" i="4" l="1"/>
  <c r="G9" i="4"/>
  <c r="G10" i="4" s="1"/>
  <c r="J13" i="4"/>
  <c r="G13" i="4"/>
  <c r="J9" i="4"/>
  <c r="J10" i="4" s="1"/>
  <c r="G17" i="4"/>
  <c r="J12" i="4"/>
  <c r="L13" i="4"/>
  <c r="B17" i="4"/>
  <c r="B12" i="4"/>
  <c r="D17" i="4"/>
  <c r="C17" i="4"/>
  <c r="M12" i="4"/>
  <c r="B9" i="4"/>
  <c r="B10" i="4" s="1"/>
  <c r="D9" i="4"/>
  <c r="D10" i="4" s="1"/>
  <c r="L12" i="4"/>
  <c r="D13" i="4"/>
  <c r="M17" i="4"/>
  <c r="C12" i="4"/>
  <c r="M9" i="4"/>
  <c r="M10" i="4" s="1"/>
  <c r="C9" i="4"/>
  <c r="C10" i="4" s="1"/>
  <c r="K6" i="4"/>
  <c r="I6" i="4"/>
  <c r="F6" i="4"/>
  <c r="E6" i="4"/>
  <c r="B15" i="3"/>
  <c r="B17" i="3"/>
  <c r="N8" i="3"/>
  <c r="N13" i="2"/>
  <c r="N11" i="2"/>
  <c r="C7" i="2"/>
  <c r="D5" i="2" s="1"/>
  <c r="N6" i="4" l="1"/>
  <c r="E17" i="4"/>
  <c r="E13" i="4"/>
  <c r="E9" i="4"/>
  <c r="E10" i="4" s="1"/>
  <c r="E12" i="4"/>
  <c r="F13" i="4"/>
  <c r="F9" i="4"/>
  <c r="F10" i="4" s="1"/>
  <c r="F12" i="4"/>
  <c r="F17" i="4"/>
  <c r="I13" i="4"/>
  <c r="I9" i="4"/>
  <c r="I10" i="4" s="1"/>
  <c r="I17" i="4"/>
  <c r="I12" i="4"/>
  <c r="K12" i="4"/>
  <c r="K9" i="4"/>
  <c r="K10" i="4" s="1"/>
  <c r="K17" i="4"/>
  <c r="K13" i="4"/>
  <c r="D7" i="2"/>
  <c r="D8" i="2" s="1"/>
  <c r="E5" i="2" s="1"/>
  <c r="E7" i="2" s="1"/>
  <c r="N13" i="4" l="1"/>
  <c r="B20" i="4"/>
  <c r="N12" i="4"/>
  <c r="N17" i="4"/>
  <c r="N9" i="4"/>
  <c r="N10" i="4" s="1"/>
  <c r="B23" i="4" s="1"/>
  <c r="E8" i="2"/>
  <c r="F5" i="2" s="1"/>
  <c r="F7" i="2" s="1"/>
  <c r="B22" i="4" l="1"/>
  <c r="F8" i="2"/>
  <c r="G5" i="2" s="1"/>
  <c r="G7" i="2" s="1"/>
  <c r="G8" i="2" l="1"/>
  <c r="H5" i="2" s="1"/>
  <c r="H7" i="2" s="1"/>
  <c r="H8" i="2" l="1"/>
  <c r="I5" i="2" s="1"/>
  <c r="I7" i="2" s="1"/>
  <c r="I8" i="2" l="1"/>
  <c r="J5" i="2" s="1"/>
  <c r="J7" i="2" s="1"/>
  <c r="J8" i="2" l="1"/>
  <c r="K5" i="2" s="1"/>
  <c r="K7" i="2" s="1"/>
  <c r="K8" i="2" s="1"/>
  <c r="L5" i="2" s="1"/>
  <c r="L7" i="2" s="1"/>
  <c r="L8" i="2" s="1"/>
  <c r="M5" i="2" s="1"/>
  <c r="M7" i="2" s="1"/>
  <c r="M8" i="2" s="1"/>
</calcChain>
</file>

<file path=xl/sharedStrings.xml><?xml version="1.0" encoding="utf-8"?>
<sst xmlns="http://schemas.openxmlformats.org/spreadsheetml/2006/main" count="150" uniqueCount="107">
  <si>
    <t>FP&amp;A Budget &amp; Forecast Model</t>
  </si>
  <si>
    <t>Assumptions &amp; Drivers</t>
  </si>
  <si>
    <t>Driver</t>
  </si>
  <si>
    <t>Value</t>
  </si>
  <si>
    <t>Notes</t>
  </si>
  <si>
    <t>REVENUE DRIVERS</t>
  </si>
  <si>
    <t>Monthly Customers (Base)</t>
  </si>
  <si>
    <t>Starting customer count</t>
  </si>
  <si>
    <t>Monthly New Customers</t>
  </si>
  <si>
    <t>New adds per month</t>
  </si>
  <si>
    <t>Monthly Churn Rate</t>
  </si>
  <si>
    <t>% customers lost monthly</t>
  </si>
  <si>
    <t>Average Revenue Per User</t>
  </si>
  <si>
    <t>Monthly per customer</t>
  </si>
  <si>
    <t>Annual Price Increase</t>
  </si>
  <si>
    <t>Applied at month 12</t>
  </si>
  <si>
    <t>EXPENSE DRIVERS</t>
  </si>
  <si>
    <t>Headcount</t>
  </si>
  <si>
    <t>Full time employees</t>
  </si>
  <si>
    <t>Average Salary</t>
  </si>
  <si>
    <t>Annual per employee</t>
  </si>
  <si>
    <t>Benefits &amp; Payroll Tax</t>
  </si>
  <si>
    <t>% of salary</t>
  </si>
  <si>
    <t>Office &amp; Overhead</t>
  </si>
  <si>
    <t>Monthly fixed cost</t>
  </si>
  <si>
    <t>Marketing Spend</t>
  </si>
  <si>
    <t>Monthly</t>
  </si>
  <si>
    <t>Software &amp; Tools</t>
  </si>
  <si>
    <t>Miscellaneous</t>
  </si>
  <si>
    <t>SCENARIO TOGGLE</t>
  </si>
  <si>
    <t>Active Scenario</t>
  </si>
  <si>
    <t>Base / Upside / Downside</t>
  </si>
  <si>
    <t>Upside Revenue Multiplier</t>
  </si>
  <si>
    <t>15% above base</t>
  </si>
  <si>
    <t>Downside Revenue Multiplier</t>
  </si>
  <si>
    <t>15% below base</t>
  </si>
  <si>
    <t>Revenue Forecast</t>
  </si>
  <si>
    <t>Linked to Assumptions — do not hardcode values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</si>
  <si>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</si>
  <si>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</si>
  <si>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</si>
  <si>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</si>
  <si>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</si>
  <si>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</si>
  <si>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</si>
  <si>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</si>
  <si>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</si>
  <si>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</si>
  <si>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</si>
  <si>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</si>
  <si>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</si>
  <si>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 year</t>
  </si>
  <si>
    <t>Starting Customers</t>
  </si>
  <si>
    <t>New Customers Added</t>
  </si>
  <si>
    <t>Churned Customers</t>
  </si>
  <si>
    <t>Ending Customers</t>
  </si>
  <si>
    <t>Scenario Multiplier</t>
  </si>
  <si>
    <t>Monthly Revenue</t>
  </si>
  <si>
    <t>MoM Revenue Growth %</t>
  </si>
  <si>
    <t>Downside</t>
  </si>
  <si>
    <t>Expense Forecast</t>
  </si>
  <si>
    <t>Expense Item</t>
  </si>
  <si>
    <t>Full Year</t>
  </si>
  <si>
    <t>PEOPLE COSTS</t>
  </si>
  <si>
    <t>Gross Salary Cost</t>
  </si>
  <si>
    <t>Total People Cost</t>
  </si>
  <si>
    <t>OPERATING COSTS</t>
  </si>
  <si>
    <t>Total Operating Costs</t>
  </si>
  <si>
    <t>TOTAL EXPENSES</t>
  </si>
  <si>
    <t>Forecast Summary</t>
  </si>
  <si>
    <t>P&amp;L Summary</t>
  </si>
  <si>
    <t>Total Revenue</t>
  </si>
  <si>
    <t>Total Expenses</t>
  </si>
  <si>
    <t>Gross Profit</t>
  </si>
  <si>
    <t>Profit Margin %</t>
  </si>
  <si>
    <t>People Cost % of Revenue</t>
  </si>
  <si>
    <t>Operating Cost % of Revenue</t>
  </si>
  <si>
    <t>CUSTOMER METRICS</t>
  </si>
  <si>
    <t>Revenue Per Customer</t>
  </si>
  <si>
    <t>ANNUAL SUMMARY</t>
  </si>
  <si>
    <t>Full Year Revenue</t>
  </si>
  <si>
    <t>Full Year Expenses</t>
  </si>
  <si>
    <t>Full Year Profit</t>
  </si>
  <si>
    <t>Full Year Margin %</t>
  </si>
  <si>
    <t>Scenario Analysis Summary</t>
  </si>
  <si>
    <t>Base vs Upside vs Downside — Full Year View</t>
  </si>
  <si>
    <t>Upside (+15%)</t>
  </si>
  <si>
    <t>Base Case</t>
  </si>
  <si>
    <t>Downside (-15%)</t>
  </si>
  <si>
    <t>Upside vs Downside Gap</t>
  </si>
  <si>
    <t>REVENUE</t>
  </si>
  <si>
    <t>Revenue vs Base Case</t>
  </si>
  <si>
    <t>-</t>
  </si>
  <si>
    <t>Revenue Variance vs Base %</t>
  </si>
  <si>
    <t>PROFITABILITY</t>
  </si>
  <si>
    <t>Full Year Profit / (Loss)</t>
  </si>
  <si>
    <t>CUSTOMERS</t>
  </si>
  <si>
    <t>Year End Customers</t>
  </si>
  <si>
    <t>Annual Revenue Per Customer</t>
  </si>
  <si>
    <t>KEY INSIGHTS</t>
  </si>
  <si>
    <t>Breakeven Scenario</t>
  </si>
  <si>
    <t>Upside Only</t>
  </si>
  <si>
    <t>Not Achieved</t>
  </si>
  <si>
    <t>Revenue Gap to Breakeven</t>
  </si>
  <si>
    <t>Expense Reduction Needed to Breakeven</t>
  </si>
  <si>
    <t>RECOMMENDATION</t>
  </si>
  <si>
    <t>The business only achieves profitability under Upside assumptions. Leadership should prioritize revenue growth strategies and evaluate cost reduction opportunities to improve Base case viability.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</si>
</sst>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171" formatCode="&quot;$&quot;#,##0.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2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6" fontId="0" fillId="4" borderId="0" xfId="0" applyNumberFormat="1" applyFill="1" applyAlignment="1">
      <alignment horizontal="center" vertical="center" wrapText="1"/>
    </xf>
    <xf numFmtId="2" fontId="0" fillId="0" borderId="0" xfId="0" applyNumberFormat="1"/>
    <xf numFmtId="10" fontId="0" fillId="4" borderId="0" xfId="1" applyNumberFormat="1" applyFont="1" applyFill="1" applyAlignment="1">
      <alignment horizontal="center" vertical="center" wrapText="1"/>
    </xf>
    <xf numFmtId="1" fontId="0" fillId="0" borderId="0" xfId="0" applyNumberFormat="1"/>
    <xf numFmtId="6" fontId="0" fillId="0" borderId="0" xfId="0" applyNumberFormat="1"/>
    <xf numFmtId="6" fontId="1" fillId="6" borderId="0" xfId="0" applyNumberFormat="1" applyFont="1" applyFill="1"/>
    <xf numFmtId="0" fontId="1" fillId="8" borderId="0" xfId="0" applyFont="1" applyFill="1"/>
    <xf numFmtId="0" fontId="1" fillId="5" borderId="0" xfId="0" applyFont="1" applyFill="1"/>
    <xf numFmtId="171" fontId="0" fillId="0" borderId="0" xfId="0" applyNumberFormat="1"/>
    <xf numFmtId="8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" fillId="8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6" fontId="1" fillId="11" borderId="0" xfId="0" applyNumberFormat="1" applyFont="1" applyFill="1"/>
    <xf numFmtId="6" fontId="1" fillId="12" borderId="0" xfId="0" applyNumberFormat="1" applyFon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13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/>
    <xf numFmtId="6" fontId="1" fillId="10" borderId="0" xfId="0" applyNumberFormat="1" applyFont="1" applyFill="1" applyAlignment="1">
      <alignment horizontal="center"/>
    </xf>
    <xf numFmtId="171" fontId="1" fillId="10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6" fontId="2" fillId="0" borderId="0" xfId="0" applyNumberFormat="1" applyFont="1"/>
    <xf numFmtId="10" fontId="0" fillId="0" borderId="0" xfId="0" applyNumberFormat="1"/>
    <xf numFmtId="0" fontId="1" fillId="4" borderId="0" xfId="0" applyFont="1" applyFill="1"/>
    <xf numFmtId="0" fontId="1" fillId="14" borderId="0" xfId="0" applyFont="1" applyFill="1"/>
    <xf numFmtId="0" fontId="1" fillId="13" borderId="0" xfId="0" applyFont="1" applyFill="1"/>
    <xf numFmtId="0" fontId="0" fillId="15" borderId="0" xfId="0" applyFill="1"/>
    <xf numFmtId="0" fontId="0" fillId="0" borderId="0" xfId="0" applyAlignment="1">
      <alignment wrapText="1"/>
    </xf>
    <xf numFmtId="171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2284-AE62-43E6-9677-D97E38381392}">
  <sheetPr>
    <tabColor rgb="FFFFFF00"/>
  </sheetPr>
  <dimension ref="A1:C24"/>
  <sheetViews>
    <sheetView tabSelected="1" workbookViewId="0">
      <selection activeCell="G15" sqref="G15"/>
    </sheetView>
  </sheetViews>
  <sheetFormatPr defaultRowHeight="15"/>
  <cols>
    <col min="1" max="1" width="28.7109375" bestFit="1" customWidth="1"/>
    <col min="2" max="2" width="19.85546875" style="5" customWidth="1"/>
    <col min="3" max="3" width="26.42578125" customWidth="1"/>
    <col min="5" max="5" width="31.140625" bestFit="1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t="s">
        <v>2</v>
      </c>
      <c r="B4" s="5" t="s">
        <v>3</v>
      </c>
      <c r="C4" t="s">
        <v>4</v>
      </c>
    </row>
    <row r="5" spans="1:3">
      <c r="A5" s="6" t="s">
        <v>5</v>
      </c>
      <c r="B5" s="7"/>
      <c r="C5" s="8"/>
    </row>
    <row r="6" spans="1:3">
      <c r="A6" s="4" t="s">
        <v>6</v>
      </c>
      <c r="B6" s="9">
        <v>500</v>
      </c>
      <c r="C6" s="4" t="s">
        <v>7</v>
      </c>
    </row>
    <row r="7" spans="1:3">
      <c r="A7" s="4" t="s">
        <v>8</v>
      </c>
      <c r="B7" s="9">
        <v>20</v>
      </c>
      <c r="C7" s="4" t="s">
        <v>9</v>
      </c>
    </row>
    <row r="8" spans="1:3">
      <c r="A8" s="4" t="s">
        <v>10</v>
      </c>
      <c r="B8" s="12">
        <v>0.02</v>
      </c>
      <c r="C8" s="4" t="s">
        <v>11</v>
      </c>
    </row>
    <row r="9" spans="1:3">
      <c r="A9" s="4" t="s">
        <v>12</v>
      </c>
      <c r="B9" s="10">
        <v>150</v>
      </c>
      <c r="C9" s="4" t="s">
        <v>13</v>
      </c>
    </row>
    <row r="10" spans="1:3">
      <c r="A10" s="4" t="s">
        <v>14</v>
      </c>
      <c r="B10" s="12">
        <v>0.03</v>
      </c>
      <c r="C10" s="4" t="s">
        <v>15</v>
      </c>
    </row>
    <row r="11" spans="1:3">
      <c r="A11" s="4"/>
      <c r="B11" s="3"/>
      <c r="C11" s="4"/>
    </row>
    <row r="12" spans="1:3">
      <c r="A12" s="6" t="s">
        <v>16</v>
      </c>
      <c r="B12" s="7"/>
      <c r="C12" s="8"/>
    </row>
    <row r="13" spans="1:3">
      <c r="A13" s="4" t="s">
        <v>17</v>
      </c>
      <c r="B13" s="9">
        <v>10</v>
      </c>
      <c r="C13" s="4" t="s">
        <v>18</v>
      </c>
    </row>
    <row r="14" spans="1:3">
      <c r="A14" s="4" t="s">
        <v>19</v>
      </c>
      <c r="B14" s="10">
        <v>70000</v>
      </c>
      <c r="C14" s="4" t="s">
        <v>20</v>
      </c>
    </row>
    <row r="15" spans="1:3">
      <c r="A15" s="4" t="s">
        <v>21</v>
      </c>
      <c r="B15" s="12">
        <v>0.2</v>
      </c>
      <c r="C15" s="4" t="s">
        <v>22</v>
      </c>
    </row>
    <row r="16" spans="1:3">
      <c r="A16" s="4" t="s">
        <v>23</v>
      </c>
      <c r="B16" s="10">
        <v>5000</v>
      </c>
      <c r="C16" s="4" t="s">
        <v>24</v>
      </c>
    </row>
    <row r="17" spans="1:3">
      <c r="A17" s="4" t="s">
        <v>25</v>
      </c>
      <c r="B17" s="10">
        <v>15000</v>
      </c>
      <c r="C17" s="4" t="s">
        <v>26</v>
      </c>
    </row>
    <row r="18" spans="1:3">
      <c r="A18" s="4" t="s">
        <v>27</v>
      </c>
      <c r="B18" s="10">
        <v>3000</v>
      </c>
      <c r="C18" s="4" t="s">
        <v>26</v>
      </c>
    </row>
    <row r="19" spans="1:3">
      <c r="A19" s="4" t="s">
        <v>28</v>
      </c>
      <c r="B19" s="10">
        <v>2000</v>
      </c>
      <c r="C19" s="4" t="s">
        <v>26</v>
      </c>
    </row>
    <row r="20" spans="1:3">
      <c r="A20" s="4"/>
      <c r="B20" s="3"/>
      <c r="C20" s="4"/>
    </row>
    <row r="21" spans="1:3">
      <c r="A21" s="6" t="s">
        <v>29</v>
      </c>
      <c r="B21" s="7"/>
      <c r="C21" s="8"/>
    </row>
    <row r="22" spans="1:3">
      <c r="A22" s="4" t="s">
        <v>30</v>
      </c>
      <c r="B22" s="9" t="s">
        <v>59</v>
      </c>
      <c r="C22" s="4" t="s">
        <v>31</v>
      </c>
    </row>
    <row r="23" spans="1:3">
      <c r="A23" s="4" t="s">
        <v>32</v>
      </c>
      <c r="B23" s="9">
        <v>1.1499999999999999</v>
      </c>
      <c r="C23" s="4" t="s">
        <v>33</v>
      </c>
    </row>
    <row r="24" spans="1:3">
      <c r="A24" s="4" t="s">
        <v>34</v>
      </c>
      <c r="B24" s="9">
        <v>0.85</v>
      </c>
      <c r="C24" s="4" t="s">
        <v>35</v>
      </c>
    </row>
  </sheetData>
  <phoneticPr fontId="4" type="noConversion"/>
  <dataValidations count="1">
    <dataValidation type="list" allowBlank="1" showInputMessage="1" showErrorMessage="1" sqref="B22" xr:uid="{2342EA29-72FF-461E-AA9B-1F6826595A0D}">
      <formula1>"Upside,Downside,Base"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00E6-E9E7-4C64-82FE-584F93FBC0E0}">
  <sheetPr>
    <tabColor theme="9"/>
  </sheetPr>
  <dimension ref="A1:N33"/>
  <sheetViews>
    <sheetView workbookViewId="0">
      <selection activeCell="M20" sqref="M20"/>
    </sheetView>
  </sheetViews>
  <sheetFormatPr defaultRowHeight="15"/>
  <cols>
    <col min="1" max="1" width="45.140625" bestFit="1" customWidth="1"/>
    <col min="2" max="13" width="13.85546875" bestFit="1" customWidth="1"/>
    <col min="14" max="14" width="14.85546875" bestFit="1" customWidth="1"/>
  </cols>
  <sheetData>
    <row r="1" spans="1:14">
      <c r="A1" s="17" t="s">
        <v>36</v>
      </c>
    </row>
    <row r="2" spans="1:14">
      <c r="A2" t="s">
        <v>37</v>
      </c>
    </row>
    <row r="4" spans="1:14">
      <c r="A4" t="s">
        <v>38</v>
      </c>
      <c r="B4" s="27" t="s">
        <v>39</v>
      </c>
      <c r="C4" s="27" t="s">
        <v>40</v>
      </c>
      <c r="D4" s="27" t="s">
        <v>41</v>
      </c>
      <c r="E4" s="27" t="s">
        <v>42</v>
      </c>
      <c r="F4" s="27" t="s">
        <v>43</v>
      </c>
      <c r="G4" s="27" t="s">
        <v>44</v>
      </c>
      <c r="H4" s="27" t="s">
        <v>45</v>
      </c>
      <c r="I4" s="27" t="s">
        <v>46</v>
      </c>
      <c r="J4" s="27" t="s">
        <v>47</v>
      </c>
      <c r="K4" s="27" t="s">
        <v>48</v>
      </c>
      <c r="L4" s="27" t="s">
        <v>49</v>
      </c>
      <c r="M4" s="27" t="s">
        <v>50</v>
      </c>
      <c r="N4" s="27" t="s">
        <v>51</v>
      </c>
    </row>
    <row r="5" spans="1:14">
      <c r="A5" t="s">
        <v>52</v>
      </c>
      <c r="B5" s="2">
        <f>Assumptions!B6</f>
        <v>500</v>
      </c>
      <c r="C5">
        <f>B8</f>
        <v>510</v>
      </c>
      <c r="D5">
        <f t="shared" ref="D5:M5" si="0">C8</f>
        <v>520</v>
      </c>
      <c r="E5">
        <f t="shared" si="0"/>
        <v>530</v>
      </c>
      <c r="F5">
        <f t="shared" si="0"/>
        <v>539</v>
      </c>
      <c r="G5">
        <f t="shared" si="0"/>
        <v>548</v>
      </c>
      <c r="H5">
        <f t="shared" si="0"/>
        <v>557</v>
      </c>
      <c r="I5">
        <f t="shared" si="0"/>
        <v>566</v>
      </c>
      <c r="J5">
        <f t="shared" si="0"/>
        <v>575</v>
      </c>
      <c r="K5">
        <f t="shared" si="0"/>
        <v>583</v>
      </c>
      <c r="L5">
        <f t="shared" si="0"/>
        <v>591</v>
      </c>
      <c r="M5">
        <f t="shared" si="0"/>
        <v>599</v>
      </c>
      <c r="N5" s="11">
        <f t="shared" ref="N5:N12" si="1">SUM(B5:M5)</f>
        <v>6618</v>
      </c>
    </row>
    <row r="6" spans="1:14">
      <c r="A6" t="s">
        <v>53</v>
      </c>
      <c r="B6">
        <f>Assumptions!$B$7</f>
        <v>20</v>
      </c>
      <c r="C6">
        <f>Assumptions!$B$7</f>
        <v>20</v>
      </c>
      <c r="D6">
        <f>Assumptions!$B$7</f>
        <v>20</v>
      </c>
      <c r="E6">
        <f>Assumptions!$B$7</f>
        <v>20</v>
      </c>
      <c r="F6">
        <f>Assumptions!$B$7</f>
        <v>20</v>
      </c>
      <c r="G6">
        <f>Assumptions!$B$7</f>
        <v>20</v>
      </c>
      <c r="H6">
        <f>Assumptions!$B$7</f>
        <v>20</v>
      </c>
      <c r="I6">
        <f>Assumptions!$B$7</f>
        <v>20</v>
      </c>
      <c r="J6">
        <f>Assumptions!$B$7</f>
        <v>20</v>
      </c>
      <c r="K6">
        <f>Assumptions!$B$7</f>
        <v>20</v>
      </c>
      <c r="L6">
        <f>Assumptions!$B$7</f>
        <v>20</v>
      </c>
      <c r="M6">
        <f>Assumptions!$B$7</f>
        <v>20</v>
      </c>
      <c r="N6" s="11">
        <f t="shared" si="1"/>
        <v>240</v>
      </c>
    </row>
    <row r="7" spans="1:14">
      <c r="A7" t="s">
        <v>54</v>
      </c>
      <c r="B7" s="13">
        <f>ROUND(B5*Assumptions!$B$8,0)</f>
        <v>10</v>
      </c>
      <c r="C7" s="13">
        <f>ROUND(C5*Assumptions!$B$8,0)</f>
        <v>10</v>
      </c>
      <c r="D7" s="13">
        <f>ROUND(D5*Assumptions!$B$8,0)</f>
        <v>10</v>
      </c>
      <c r="E7" s="13">
        <f>ROUND(E5*Assumptions!$B$8,0)</f>
        <v>11</v>
      </c>
      <c r="F7" s="13">
        <f>ROUND(F5*Assumptions!$B$8,0)</f>
        <v>11</v>
      </c>
      <c r="G7" s="13">
        <f>ROUND(G5*Assumptions!$B$8,0)</f>
        <v>11</v>
      </c>
      <c r="H7" s="13">
        <f>ROUND(H5*Assumptions!$B$8,0)</f>
        <v>11</v>
      </c>
      <c r="I7" s="13">
        <f>ROUND(I5*Assumptions!$B$8,0)</f>
        <v>11</v>
      </c>
      <c r="J7" s="13">
        <f>ROUND(J5*Assumptions!$B$8,0)</f>
        <v>12</v>
      </c>
      <c r="K7" s="13">
        <f>ROUND(K5*Assumptions!$B$8,0)</f>
        <v>12</v>
      </c>
      <c r="L7" s="13">
        <f>ROUND(L5*Assumptions!$B$8,0)</f>
        <v>12</v>
      </c>
      <c r="M7" s="13">
        <f>ROUND(M5*Assumptions!$B$8,0)</f>
        <v>12</v>
      </c>
      <c r="N7" s="11">
        <f t="shared" si="1"/>
        <v>133</v>
      </c>
    </row>
    <row r="8" spans="1:14">
      <c r="A8" t="s">
        <v>55</v>
      </c>
      <c r="B8" s="13">
        <f>SUM(B5:B6)-B7</f>
        <v>510</v>
      </c>
      <c r="C8" s="13">
        <f t="shared" ref="C8:M8" si="2">SUM(C5:C6)-C7</f>
        <v>520</v>
      </c>
      <c r="D8" s="13">
        <f t="shared" si="2"/>
        <v>530</v>
      </c>
      <c r="E8" s="13">
        <f t="shared" si="2"/>
        <v>539</v>
      </c>
      <c r="F8" s="13">
        <f t="shared" si="2"/>
        <v>548</v>
      </c>
      <c r="G8" s="13">
        <f t="shared" si="2"/>
        <v>557</v>
      </c>
      <c r="H8" s="13">
        <f t="shared" si="2"/>
        <v>566</v>
      </c>
      <c r="I8" s="13">
        <f t="shared" si="2"/>
        <v>575</v>
      </c>
      <c r="J8" s="13">
        <f t="shared" si="2"/>
        <v>583</v>
      </c>
      <c r="K8" s="13">
        <f t="shared" si="2"/>
        <v>591</v>
      </c>
      <c r="L8" s="13">
        <f t="shared" si="2"/>
        <v>599</v>
      </c>
      <c r="M8" s="13">
        <f t="shared" si="2"/>
        <v>607</v>
      </c>
      <c r="N8" s="11">
        <f t="shared" si="1"/>
        <v>6725</v>
      </c>
    </row>
    <row r="9" spans="1:14">
      <c r="N9" s="14"/>
    </row>
    <row r="10" spans="1:14">
      <c r="A10" t="s">
        <v>12</v>
      </c>
      <c r="B10" s="14">
        <f>Assumptions!$B$9</f>
        <v>150</v>
      </c>
      <c r="C10" s="14">
        <f>Assumptions!$B$9</f>
        <v>150</v>
      </c>
      <c r="D10" s="14">
        <f>Assumptions!$B$9</f>
        <v>150</v>
      </c>
      <c r="E10" s="14">
        <f>Assumptions!$B$9</f>
        <v>150</v>
      </c>
      <c r="F10" s="14">
        <f>Assumptions!$B$9</f>
        <v>150</v>
      </c>
      <c r="G10" s="14">
        <f>Assumptions!$B$9</f>
        <v>150</v>
      </c>
      <c r="H10" s="14">
        <f>Assumptions!$B$9</f>
        <v>150</v>
      </c>
      <c r="I10" s="14">
        <f>Assumptions!$B$9</f>
        <v>150</v>
      </c>
      <c r="J10" s="14">
        <f>Assumptions!$B$9</f>
        <v>150</v>
      </c>
      <c r="K10" s="14">
        <f>Assumptions!$B$9</f>
        <v>150</v>
      </c>
      <c r="L10" s="14">
        <f>Assumptions!$B$9</f>
        <v>150</v>
      </c>
      <c r="M10" s="14">
        <f>Assumptions!$B$9</f>
        <v>150</v>
      </c>
      <c r="N10" s="14">
        <f t="shared" si="1"/>
        <v>1800</v>
      </c>
    </row>
    <row r="11" spans="1:14">
      <c r="A11" t="s">
        <v>56</v>
      </c>
      <c r="B11">
        <f>IF(Assumptions!$B$22="Base",1,IF(Assumptions!$B$22="Upside",Assumptions!$B$23,Assumptions!$B$24))</f>
        <v>0.85</v>
      </c>
      <c r="C11">
        <f>IF(Assumptions!$B$22="Base",1,IF(Assumptions!$B$22="Upside",Assumptions!$B$23,Assumptions!$B$24))</f>
        <v>0.85</v>
      </c>
      <c r="D11">
        <f>IF(Assumptions!$B$22="Base",1,IF(Assumptions!$B$22="Upside",Assumptions!$B$23,Assumptions!$B$24))</f>
        <v>0.85</v>
      </c>
      <c r="E11">
        <f>IF(Assumptions!$B$22="Base",1,IF(Assumptions!$B$22="Upside",Assumptions!$B$23,Assumptions!$B$24))</f>
        <v>0.85</v>
      </c>
      <c r="F11">
        <f>IF(Assumptions!$B$22="Base",1,IF(Assumptions!$B$22="Upside",Assumptions!$B$23,Assumptions!$B$24))</f>
        <v>0.85</v>
      </c>
      <c r="G11">
        <f>IF(Assumptions!$B$22="Base",1,IF(Assumptions!$B$22="Upside",Assumptions!$B$23,Assumptions!$B$24))</f>
        <v>0.85</v>
      </c>
      <c r="H11">
        <f>IF(Assumptions!$B$22="Base",1,IF(Assumptions!$B$22="Upside",Assumptions!$B$23,Assumptions!$B$24))</f>
        <v>0.85</v>
      </c>
      <c r="I11">
        <f>IF(Assumptions!$B$22="Base",1,IF(Assumptions!$B$22="Upside",Assumptions!$B$23,Assumptions!$B$24))</f>
        <v>0.85</v>
      </c>
      <c r="J11">
        <f>IF(Assumptions!$B$22="Base",1,IF(Assumptions!$B$22="Upside",Assumptions!$B$23,Assumptions!$B$24))</f>
        <v>0.85</v>
      </c>
      <c r="K11">
        <f>IF(Assumptions!$B$22="Base",1,IF(Assumptions!$B$22="Upside",Assumptions!$B$23,Assumptions!$B$24))</f>
        <v>0.85</v>
      </c>
      <c r="L11">
        <f>IF(Assumptions!$B$22="Base",1,IF(Assumptions!$B$22="Upside",Assumptions!$B$23,Assumptions!$B$24))</f>
        <v>0.85</v>
      </c>
      <c r="M11">
        <f>IF(Assumptions!$B$22="Base",1,IF(Assumptions!$B$22="Upside",Assumptions!$B$23,Assumptions!$B$24))</f>
        <v>0.85</v>
      </c>
      <c r="N11" s="11">
        <f t="shared" si="1"/>
        <v>10.199999999999998</v>
      </c>
    </row>
    <row r="12" spans="1:14">
      <c r="N12" s="14"/>
    </row>
    <row r="13" spans="1:14">
      <c r="A13" t="s">
        <v>57</v>
      </c>
      <c r="B13" s="15">
        <f>B8*B10*B11</f>
        <v>65025</v>
      </c>
      <c r="C13" s="15">
        <f t="shared" ref="C13:M13" si="3">C8*C10*C11</f>
        <v>66300</v>
      </c>
      <c r="D13" s="15">
        <f t="shared" si="3"/>
        <v>67575</v>
      </c>
      <c r="E13" s="15">
        <f t="shared" si="3"/>
        <v>68722.5</v>
      </c>
      <c r="F13" s="15">
        <f t="shared" si="3"/>
        <v>69870</v>
      </c>
      <c r="G13" s="15">
        <f t="shared" si="3"/>
        <v>71017.5</v>
      </c>
      <c r="H13" s="15">
        <f t="shared" si="3"/>
        <v>72165</v>
      </c>
      <c r="I13" s="15">
        <f t="shared" si="3"/>
        <v>73312.5</v>
      </c>
      <c r="J13" s="15">
        <f t="shared" si="3"/>
        <v>74332.5</v>
      </c>
      <c r="K13" s="15">
        <f t="shared" si="3"/>
        <v>75352.5</v>
      </c>
      <c r="L13" s="15">
        <f t="shared" si="3"/>
        <v>76372.5</v>
      </c>
      <c r="M13" s="15">
        <f t="shared" si="3"/>
        <v>77392.5</v>
      </c>
      <c r="N13" s="15">
        <f>SUM(B13:M13)</f>
        <v>857437.5</v>
      </c>
    </row>
    <row r="16" spans="1:14">
      <c r="A16" t="s">
        <v>58</v>
      </c>
      <c r="B16">
        <f>ROUND(((C13-B13)/B13),2)</f>
        <v>0.02</v>
      </c>
      <c r="C16">
        <f t="shared" ref="C16:M16" si="4">ROUND(((D13-C13)/C13),2)</f>
        <v>0.02</v>
      </c>
      <c r="D16">
        <f t="shared" si="4"/>
        <v>0.02</v>
      </c>
      <c r="E16">
        <f t="shared" si="4"/>
        <v>0.02</v>
      </c>
      <c r="F16">
        <f t="shared" si="4"/>
        <v>0.02</v>
      </c>
      <c r="G16">
        <f t="shared" si="4"/>
        <v>0.02</v>
      </c>
      <c r="H16">
        <f t="shared" si="4"/>
        <v>0.02</v>
      </c>
      <c r="I16">
        <f t="shared" si="4"/>
        <v>0.01</v>
      </c>
      <c r="J16">
        <f t="shared" si="4"/>
        <v>0.01</v>
      </c>
      <c r="K16">
        <f t="shared" si="4"/>
        <v>0.01</v>
      </c>
      <c r="L16">
        <f t="shared" si="4"/>
        <v>0.01</v>
      </c>
      <c r="M16">
        <f t="shared" si="4"/>
        <v>10.08</v>
      </c>
      <c r="N16">
        <f>SUM(B16:M16)</f>
        <v>10.26</v>
      </c>
    </row>
    <row r="33" ht="21.75" customHeight="1"/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0F8A-8539-4CED-8429-9A9506233AD8}">
  <sheetPr>
    <tabColor rgb="FFFF0000"/>
  </sheetPr>
  <dimension ref="A1:N17"/>
  <sheetViews>
    <sheetView workbookViewId="0">
      <selection activeCell="B31" sqref="B30:B31"/>
    </sheetView>
  </sheetViews>
  <sheetFormatPr defaultRowHeight="15"/>
  <cols>
    <col min="1" max="1" width="45.140625" bestFit="1" customWidth="1"/>
    <col min="2" max="2" width="12" style="5" bestFit="1" customWidth="1"/>
    <col min="3" max="13" width="10.140625" style="5" bestFit="1" customWidth="1"/>
    <col min="14" max="14" width="11.140625" style="5" bestFit="1" customWidth="1"/>
  </cols>
  <sheetData>
    <row r="1" spans="1:14">
      <c r="A1" s="16" t="s">
        <v>60</v>
      </c>
    </row>
    <row r="2" spans="1:14">
      <c r="A2" t="s">
        <v>37</v>
      </c>
    </row>
    <row r="4" spans="1:14">
      <c r="A4" t="s">
        <v>61</v>
      </c>
      <c r="B4" s="28" t="s">
        <v>39</v>
      </c>
      <c r="C4" s="28" t="s">
        <v>40</v>
      </c>
      <c r="D4" s="28" t="s">
        <v>41</v>
      </c>
      <c r="E4" s="28" t="s">
        <v>42</v>
      </c>
      <c r="F4" s="28" t="s">
        <v>43</v>
      </c>
      <c r="G4" s="28" t="s">
        <v>44</v>
      </c>
      <c r="H4" s="28" t="s">
        <v>45</v>
      </c>
      <c r="I4" s="28" t="s">
        <v>46</v>
      </c>
      <c r="J4" s="28" t="s">
        <v>47</v>
      </c>
      <c r="K4" s="28" t="s">
        <v>48</v>
      </c>
      <c r="L4" s="28" t="s">
        <v>49</v>
      </c>
      <c r="M4" s="28" t="s">
        <v>50</v>
      </c>
      <c r="N4" s="28" t="s">
        <v>62</v>
      </c>
    </row>
    <row r="5" spans="1:14">
      <c r="A5" t="s">
        <v>63</v>
      </c>
    </row>
    <row r="6" spans="1:14">
      <c r="A6" t="s">
        <v>64</v>
      </c>
      <c r="B6" s="19">
        <f>Assumptions!$B$14*Assumptions!$B$13/12</f>
        <v>58333.333333333336</v>
      </c>
      <c r="C6" s="19">
        <f>Assumptions!$B$14*Assumptions!$B$13/12</f>
        <v>58333.333333333336</v>
      </c>
      <c r="D6" s="19">
        <f>Assumptions!$B$14*Assumptions!$B$13/12</f>
        <v>58333.333333333336</v>
      </c>
      <c r="E6" s="19">
        <f>Assumptions!$B$14*Assumptions!$B$13/12</f>
        <v>58333.333333333336</v>
      </c>
      <c r="F6" s="19">
        <f>Assumptions!$B$14*Assumptions!$B$13/12</f>
        <v>58333.333333333336</v>
      </c>
      <c r="G6" s="19">
        <f>Assumptions!$B$14*Assumptions!$B$13/12</f>
        <v>58333.333333333336</v>
      </c>
      <c r="H6" s="19">
        <f>Assumptions!$B$14*Assumptions!$B$13/12</f>
        <v>58333.333333333336</v>
      </c>
      <c r="I6" s="19">
        <f>Assumptions!$B$14*Assumptions!$B$13/12</f>
        <v>58333.333333333336</v>
      </c>
      <c r="J6" s="19">
        <f>Assumptions!$B$14*Assumptions!$B$13/12</f>
        <v>58333.333333333336</v>
      </c>
      <c r="K6" s="19">
        <f>Assumptions!$B$14*Assumptions!$B$13/12</f>
        <v>58333.333333333336</v>
      </c>
      <c r="L6" s="19">
        <f>Assumptions!$B$14*Assumptions!$B$13/12</f>
        <v>58333.333333333336</v>
      </c>
      <c r="M6" s="19">
        <f>Assumptions!$B$14*Assumptions!$B$13/12</f>
        <v>58333.333333333336</v>
      </c>
      <c r="N6" s="31">
        <f t="shared" ref="N6:N7" si="0">SUM(B6:M6)</f>
        <v>700000.00000000012</v>
      </c>
    </row>
    <row r="7" spans="1:14">
      <c r="A7" t="s">
        <v>21</v>
      </c>
      <c r="B7" s="19">
        <f>B6*Assumptions!$B$15</f>
        <v>11666.666666666668</v>
      </c>
      <c r="C7" s="19">
        <f>C6*Assumptions!$B$15</f>
        <v>11666.666666666668</v>
      </c>
      <c r="D7" s="19">
        <f>D6*Assumptions!$B$15</f>
        <v>11666.666666666668</v>
      </c>
      <c r="E7" s="19">
        <f>E6*Assumptions!$B$15</f>
        <v>11666.666666666668</v>
      </c>
      <c r="F7" s="19">
        <f>F6*Assumptions!$B$15</f>
        <v>11666.666666666668</v>
      </c>
      <c r="G7" s="19">
        <f>G6*Assumptions!$B$15</f>
        <v>11666.666666666668</v>
      </c>
      <c r="H7" s="19">
        <f>H6*Assumptions!$B$15</f>
        <v>11666.666666666668</v>
      </c>
      <c r="I7" s="19">
        <f>I6*Assumptions!$B$15</f>
        <v>11666.666666666668</v>
      </c>
      <c r="J7" s="19">
        <f>J6*Assumptions!$B$15</f>
        <v>11666.666666666668</v>
      </c>
      <c r="K7" s="19">
        <f>K6*Assumptions!$B$15</f>
        <v>11666.666666666668</v>
      </c>
      <c r="L7" s="19">
        <f>L6*Assumptions!$B$15</f>
        <v>11666.666666666668</v>
      </c>
      <c r="M7" s="19">
        <f>M6*Assumptions!$B$15</f>
        <v>11666.666666666668</v>
      </c>
      <c r="N7" s="31">
        <f t="shared" si="0"/>
        <v>140000.00000000003</v>
      </c>
    </row>
    <row r="8" spans="1:14">
      <c r="A8" t="s">
        <v>65</v>
      </c>
      <c r="B8" s="19">
        <f>B6+B7</f>
        <v>70000</v>
      </c>
      <c r="C8" s="19">
        <f t="shared" ref="C8:M8" si="1">C6+C7</f>
        <v>70000</v>
      </c>
      <c r="D8" s="19">
        <f t="shared" si="1"/>
        <v>70000</v>
      </c>
      <c r="E8" s="19">
        <f t="shared" si="1"/>
        <v>70000</v>
      </c>
      <c r="F8" s="19">
        <f t="shared" si="1"/>
        <v>70000</v>
      </c>
      <c r="G8" s="19">
        <f t="shared" si="1"/>
        <v>70000</v>
      </c>
      <c r="H8" s="19">
        <f t="shared" si="1"/>
        <v>70000</v>
      </c>
      <c r="I8" s="19">
        <f t="shared" si="1"/>
        <v>70000</v>
      </c>
      <c r="J8" s="19">
        <f t="shared" si="1"/>
        <v>70000</v>
      </c>
      <c r="K8" s="19">
        <f t="shared" si="1"/>
        <v>70000</v>
      </c>
      <c r="L8" s="19">
        <f t="shared" si="1"/>
        <v>70000</v>
      </c>
      <c r="M8" s="19">
        <f t="shared" si="1"/>
        <v>70000</v>
      </c>
      <c r="N8" s="31">
        <f>SUM(B8:M8)</f>
        <v>840000</v>
      </c>
    </row>
    <row r="9" spans="1:14">
      <c r="N9" s="32"/>
    </row>
    <row r="10" spans="1:14">
      <c r="A10" t="s">
        <v>66</v>
      </c>
      <c r="N10" s="32"/>
    </row>
    <row r="11" spans="1:14">
      <c r="A11" t="s">
        <v>23</v>
      </c>
      <c r="B11" s="20">
        <f>Assumptions!$B$16</f>
        <v>5000</v>
      </c>
      <c r="C11" s="20">
        <f>Assumptions!$B$16</f>
        <v>5000</v>
      </c>
      <c r="D11" s="20">
        <f>Assumptions!$B$16</f>
        <v>5000</v>
      </c>
      <c r="E11" s="20">
        <f>Assumptions!$B$16</f>
        <v>5000</v>
      </c>
      <c r="F11" s="20">
        <f>Assumptions!$B$16</f>
        <v>5000</v>
      </c>
      <c r="G11" s="20">
        <f>Assumptions!$B$16</f>
        <v>5000</v>
      </c>
      <c r="H11" s="20">
        <f>Assumptions!$B$16</f>
        <v>5000</v>
      </c>
      <c r="I11" s="20">
        <f>Assumptions!$B$16</f>
        <v>5000</v>
      </c>
      <c r="J11" s="20">
        <f>Assumptions!$B$16</f>
        <v>5000</v>
      </c>
      <c r="K11" s="20">
        <f>Assumptions!$B$16</f>
        <v>5000</v>
      </c>
      <c r="L11" s="20">
        <f>Assumptions!$B$16</f>
        <v>5000</v>
      </c>
      <c r="M11" s="20">
        <f>Assumptions!$B$16</f>
        <v>5000</v>
      </c>
      <c r="N11" s="30">
        <f>SUM(B11:M11)</f>
        <v>60000</v>
      </c>
    </row>
    <row r="12" spans="1:14">
      <c r="A12" t="s">
        <v>25</v>
      </c>
      <c r="B12" s="20">
        <f>Assumptions!$B$17</f>
        <v>15000</v>
      </c>
      <c r="C12" s="20">
        <f>Assumptions!$B$17</f>
        <v>15000</v>
      </c>
      <c r="D12" s="20">
        <f>Assumptions!$B$17</f>
        <v>15000</v>
      </c>
      <c r="E12" s="20">
        <f>Assumptions!$B$17</f>
        <v>15000</v>
      </c>
      <c r="F12" s="20">
        <f>Assumptions!$B$17</f>
        <v>15000</v>
      </c>
      <c r="G12" s="20">
        <f>Assumptions!$B$17</f>
        <v>15000</v>
      </c>
      <c r="H12" s="20">
        <f>Assumptions!$B$17</f>
        <v>15000</v>
      </c>
      <c r="I12" s="20">
        <f>Assumptions!$B$17</f>
        <v>15000</v>
      </c>
      <c r="J12" s="20">
        <f>Assumptions!$B$17</f>
        <v>15000</v>
      </c>
      <c r="K12" s="20">
        <f>Assumptions!$B$17</f>
        <v>15000</v>
      </c>
      <c r="L12" s="20">
        <f>Assumptions!$B$17</f>
        <v>15000</v>
      </c>
      <c r="M12" s="20">
        <f>Assumptions!$B$17</f>
        <v>15000</v>
      </c>
      <c r="N12" s="30">
        <f t="shared" ref="N12:N17" si="2">SUM(B12:M12)</f>
        <v>180000</v>
      </c>
    </row>
    <row r="13" spans="1:14">
      <c r="A13" t="s">
        <v>27</v>
      </c>
      <c r="B13" s="20">
        <f>Assumptions!$B$18</f>
        <v>3000</v>
      </c>
      <c r="C13" s="20">
        <f>Assumptions!$B$18</f>
        <v>3000</v>
      </c>
      <c r="D13" s="20">
        <f>Assumptions!$B$18</f>
        <v>3000</v>
      </c>
      <c r="E13" s="20">
        <f>Assumptions!$B$18</f>
        <v>3000</v>
      </c>
      <c r="F13" s="20">
        <f>Assumptions!$B$18</f>
        <v>3000</v>
      </c>
      <c r="G13" s="20">
        <f>Assumptions!$B$18</f>
        <v>3000</v>
      </c>
      <c r="H13" s="20">
        <f>Assumptions!$B$18</f>
        <v>3000</v>
      </c>
      <c r="I13" s="20">
        <f>Assumptions!$B$18</f>
        <v>3000</v>
      </c>
      <c r="J13" s="20">
        <f>Assumptions!$B$18</f>
        <v>3000</v>
      </c>
      <c r="K13" s="20">
        <f>Assumptions!$B$18</f>
        <v>3000</v>
      </c>
      <c r="L13" s="20">
        <f>Assumptions!$B$18</f>
        <v>3000</v>
      </c>
      <c r="M13" s="20">
        <f>Assumptions!$B$18</f>
        <v>3000</v>
      </c>
      <c r="N13" s="30">
        <f t="shared" si="2"/>
        <v>36000</v>
      </c>
    </row>
    <row r="14" spans="1:14">
      <c r="A14" t="s">
        <v>28</v>
      </c>
      <c r="B14" s="20">
        <f>Assumptions!$B$19</f>
        <v>2000</v>
      </c>
      <c r="C14" s="20">
        <f>Assumptions!$B$19</f>
        <v>2000</v>
      </c>
      <c r="D14" s="20">
        <f>Assumptions!$B$19</f>
        <v>2000</v>
      </c>
      <c r="E14" s="20">
        <f>Assumptions!$B$19</f>
        <v>2000</v>
      </c>
      <c r="F14" s="20">
        <f>Assumptions!$B$19</f>
        <v>2000</v>
      </c>
      <c r="G14" s="20">
        <f>Assumptions!$B$19</f>
        <v>2000</v>
      </c>
      <c r="H14" s="20">
        <f>Assumptions!$B$19</f>
        <v>2000</v>
      </c>
      <c r="I14" s="20">
        <f>Assumptions!$B$19</f>
        <v>2000</v>
      </c>
      <c r="J14" s="20">
        <f>Assumptions!$B$19</f>
        <v>2000</v>
      </c>
      <c r="K14" s="20">
        <f>Assumptions!$B$19</f>
        <v>2000</v>
      </c>
      <c r="L14" s="20">
        <f>Assumptions!$B$19</f>
        <v>2000</v>
      </c>
      <c r="M14" s="20">
        <f>Assumptions!$B$19</f>
        <v>2000</v>
      </c>
      <c r="N14" s="30">
        <f t="shared" si="2"/>
        <v>24000</v>
      </c>
    </row>
    <row r="15" spans="1:14">
      <c r="A15" t="s">
        <v>67</v>
      </c>
      <c r="B15" s="20">
        <f>SUM(B11:B14)</f>
        <v>25000</v>
      </c>
      <c r="C15" s="20">
        <f t="shared" ref="C15:M15" si="3">SUM(C11:C14)</f>
        <v>25000</v>
      </c>
      <c r="D15" s="20">
        <f t="shared" si="3"/>
        <v>25000</v>
      </c>
      <c r="E15" s="20">
        <f t="shared" si="3"/>
        <v>25000</v>
      </c>
      <c r="F15" s="20">
        <f t="shared" si="3"/>
        <v>25000</v>
      </c>
      <c r="G15" s="20">
        <f t="shared" si="3"/>
        <v>25000</v>
      </c>
      <c r="H15" s="20">
        <f t="shared" si="3"/>
        <v>25000</v>
      </c>
      <c r="I15" s="20">
        <f t="shared" si="3"/>
        <v>25000</v>
      </c>
      <c r="J15" s="20">
        <f t="shared" si="3"/>
        <v>25000</v>
      </c>
      <c r="K15" s="20">
        <f t="shared" si="3"/>
        <v>25000</v>
      </c>
      <c r="L15" s="20">
        <f t="shared" si="3"/>
        <v>25000</v>
      </c>
      <c r="M15" s="20">
        <f t="shared" si="3"/>
        <v>25000</v>
      </c>
      <c r="N15" s="30">
        <f t="shared" si="2"/>
        <v>300000</v>
      </c>
    </row>
    <row r="16" spans="1:14">
      <c r="N16" s="30"/>
    </row>
    <row r="17" spans="1:14">
      <c r="A17" s="29" t="s">
        <v>68</v>
      </c>
      <c r="B17" s="30">
        <f>B8+B15</f>
        <v>95000</v>
      </c>
      <c r="C17" s="30">
        <f t="shared" ref="C17:M17" si="4">C8+C15</f>
        <v>95000</v>
      </c>
      <c r="D17" s="30">
        <f t="shared" si="4"/>
        <v>95000</v>
      </c>
      <c r="E17" s="30">
        <f t="shared" si="4"/>
        <v>95000</v>
      </c>
      <c r="F17" s="30">
        <f t="shared" si="4"/>
        <v>95000</v>
      </c>
      <c r="G17" s="30">
        <f t="shared" si="4"/>
        <v>95000</v>
      </c>
      <c r="H17" s="30">
        <f t="shared" si="4"/>
        <v>95000</v>
      </c>
      <c r="I17" s="30">
        <f t="shared" si="4"/>
        <v>95000</v>
      </c>
      <c r="J17" s="30">
        <f t="shared" si="4"/>
        <v>95000</v>
      </c>
      <c r="K17" s="30">
        <f t="shared" si="4"/>
        <v>95000</v>
      </c>
      <c r="L17" s="30">
        <f t="shared" si="4"/>
        <v>95000</v>
      </c>
      <c r="M17" s="30">
        <f t="shared" si="4"/>
        <v>95000</v>
      </c>
      <c r="N17" s="30">
        <f t="shared" si="2"/>
        <v>1140000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6063-9F78-49CB-9968-5FCEE089A0AB}">
  <sheetPr>
    <tabColor theme="3" tint="9.9978637043366805E-2"/>
  </sheetPr>
  <dimension ref="A1:O23"/>
  <sheetViews>
    <sheetView workbookViewId="0">
      <selection activeCell="F28" sqref="F28"/>
    </sheetView>
  </sheetViews>
  <sheetFormatPr defaultRowHeight="15"/>
  <cols>
    <col min="1" max="1" width="26.42578125" style="5" bestFit="1" customWidth="1"/>
    <col min="2" max="2" width="10.140625" style="5" bestFit="1" customWidth="1"/>
    <col min="3" max="13" width="9.140625" style="5"/>
    <col min="14" max="14" width="16.85546875" style="5" customWidth="1"/>
    <col min="15" max="15" width="9.140625" style="5"/>
  </cols>
  <sheetData>
    <row r="1" spans="1:14">
      <c r="A1" s="21" t="s">
        <v>69</v>
      </c>
    </row>
    <row r="2" spans="1:14">
      <c r="A2" s="5" t="str">
        <f>IF(Assumptions!B22="Base","Base Case Scenario",IF(Assumptions!B22="Upside","Upside Scenario","Downside Scenario"))</f>
        <v>Downside Scenario</v>
      </c>
    </row>
    <row r="4" spans="1:14">
      <c r="A4" s="5" t="s">
        <v>70</v>
      </c>
      <c r="B4" s="27" t="s">
        <v>39</v>
      </c>
      <c r="C4" s="27" t="s">
        <v>40</v>
      </c>
      <c r="D4" s="27" t="s">
        <v>41</v>
      </c>
      <c r="E4" s="27" t="s">
        <v>42</v>
      </c>
      <c r="F4" s="27" t="s">
        <v>43</v>
      </c>
      <c r="G4" s="27" t="s">
        <v>44</v>
      </c>
      <c r="H4" s="27" t="s">
        <v>45</v>
      </c>
      <c r="I4" s="27" t="s">
        <v>46</v>
      </c>
      <c r="J4" s="27" t="s">
        <v>47</v>
      </c>
      <c r="K4" s="27" t="s">
        <v>48</v>
      </c>
      <c r="L4" s="27" t="s">
        <v>49</v>
      </c>
      <c r="M4" s="27" t="s">
        <v>50</v>
      </c>
      <c r="N4" s="27" t="s">
        <v>62</v>
      </c>
    </row>
    <row r="6" spans="1:14">
      <c r="A6" s="5" t="s">
        <v>71</v>
      </c>
      <c r="B6" s="20">
        <f>Revenue!B13</f>
        <v>65025</v>
      </c>
      <c r="C6" s="20">
        <f>Revenue!C13</f>
        <v>66300</v>
      </c>
      <c r="D6" s="20">
        <f>Revenue!D13</f>
        <v>67575</v>
      </c>
      <c r="E6" s="20">
        <f>Revenue!E13</f>
        <v>68722.5</v>
      </c>
      <c r="F6" s="20">
        <f>Revenue!F13</f>
        <v>69870</v>
      </c>
      <c r="G6" s="20">
        <f>Revenue!G13</f>
        <v>71017.5</v>
      </c>
      <c r="H6" s="20">
        <f>Revenue!H13</f>
        <v>72165</v>
      </c>
      <c r="I6" s="20">
        <f>Revenue!I13</f>
        <v>73312.5</v>
      </c>
      <c r="J6" s="20">
        <f>Revenue!J13</f>
        <v>74332.5</v>
      </c>
      <c r="K6" s="20">
        <f>Revenue!K13</f>
        <v>75352.5</v>
      </c>
      <c r="L6" s="20">
        <f>Revenue!L13</f>
        <v>76372.5</v>
      </c>
      <c r="M6" s="20">
        <f>Revenue!M13</f>
        <v>77392.5</v>
      </c>
      <c r="N6" s="20">
        <f>SUM(B6:M6)</f>
        <v>857437.5</v>
      </c>
    </row>
    <row r="7" spans="1:14">
      <c r="A7" s="5" t="s">
        <v>72</v>
      </c>
      <c r="B7" s="20">
        <f>Expenses!B17</f>
        <v>95000</v>
      </c>
      <c r="C7" s="20">
        <f>Expenses!C17</f>
        <v>95000</v>
      </c>
      <c r="D7" s="20">
        <f>Expenses!D17</f>
        <v>95000</v>
      </c>
      <c r="E7" s="20">
        <f>Expenses!E17</f>
        <v>95000</v>
      </c>
      <c r="F7" s="20">
        <f>Expenses!F17</f>
        <v>95000</v>
      </c>
      <c r="G7" s="20">
        <f>Expenses!G17</f>
        <v>95000</v>
      </c>
      <c r="H7" s="20">
        <f>Expenses!H17</f>
        <v>95000</v>
      </c>
      <c r="I7" s="20">
        <f>Expenses!I17</f>
        <v>95000</v>
      </c>
      <c r="J7" s="20">
        <f>Expenses!J17</f>
        <v>95000</v>
      </c>
      <c r="K7" s="20">
        <f>Expenses!K17</f>
        <v>95000</v>
      </c>
      <c r="L7" s="20">
        <f>Expenses!L17</f>
        <v>95000</v>
      </c>
      <c r="M7" s="20">
        <f>Expenses!M17</f>
        <v>95000</v>
      </c>
      <c r="N7" s="20">
        <f t="shared" ref="N7:N9" si="0">SUM(B7:M7)</f>
        <v>1140000</v>
      </c>
    </row>
    <row r="8" spans="1:14">
      <c r="N8" s="20"/>
    </row>
    <row r="9" spans="1:14">
      <c r="A9" s="5" t="s">
        <v>73</v>
      </c>
      <c r="B9" s="20">
        <f>B6-B7</f>
        <v>-29975</v>
      </c>
      <c r="C9" s="20">
        <f t="shared" ref="C9:M9" si="1">C6-C7</f>
        <v>-28700</v>
      </c>
      <c r="D9" s="20">
        <f t="shared" si="1"/>
        <v>-27425</v>
      </c>
      <c r="E9" s="20">
        <f t="shared" si="1"/>
        <v>-26277.5</v>
      </c>
      <c r="F9" s="20">
        <f t="shared" si="1"/>
        <v>-25130</v>
      </c>
      <c r="G9" s="20">
        <f t="shared" si="1"/>
        <v>-23982.5</v>
      </c>
      <c r="H9" s="20">
        <f t="shared" si="1"/>
        <v>-22835</v>
      </c>
      <c r="I9" s="20">
        <f t="shared" si="1"/>
        <v>-21687.5</v>
      </c>
      <c r="J9" s="20">
        <f t="shared" si="1"/>
        <v>-20667.5</v>
      </c>
      <c r="K9" s="20">
        <f t="shared" si="1"/>
        <v>-19647.5</v>
      </c>
      <c r="L9" s="20">
        <f t="shared" si="1"/>
        <v>-18627.5</v>
      </c>
      <c r="M9" s="20">
        <f t="shared" si="1"/>
        <v>-17607.5</v>
      </c>
      <c r="N9" s="20">
        <f>N6-N7</f>
        <v>-282562.5</v>
      </c>
    </row>
    <row r="10" spans="1:14">
      <c r="A10" s="5" t="s">
        <v>74</v>
      </c>
      <c r="B10" s="25">
        <f>ROUND((B9/B6),2)</f>
        <v>-0.46</v>
      </c>
      <c r="C10" s="25">
        <f t="shared" ref="C10:N10" si="2">ROUND((C9/C6),2)</f>
        <v>-0.43</v>
      </c>
      <c r="D10" s="25">
        <f t="shared" si="2"/>
        <v>-0.41</v>
      </c>
      <c r="E10" s="25">
        <f t="shared" si="2"/>
        <v>-0.38</v>
      </c>
      <c r="F10" s="25">
        <f t="shared" si="2"/>
        <v>-0.36</v>
      </c>
      <c r="G10" s="25">
        <f t="shared" si="2"/>
        <v>-0.34</v>
      </c>
      <c r="H10" s="25">
        <f t="shared" si="2"/>
        <v>-0.32</v>
      </c>
      <c r="I10" s="25">
        <f t="shared" si="2"/>
        <v>-0.3</v>
      </c>
      <c r="J10" s="25">
        <f t="shared" si="2"/>
        <v>-0.28000000000000003</v>
      </c>
      <c r="K10" s="25">
        <f t="shared" si="2"/>
        <v>-0.26</v>
      </c>
      <c r="L10" s="25">
        <f t="shared" si="2"/>
        <v>-0.24</v>
      </c>
      <c r="M10" s="25">
        <f t="shared" si="2"/>
        <v>-0.23</v>
      </c>
      <c r="N10" s="25">
        <f>ROUND((N9/N6),3)</f>
        <v>-0.33</v>
      </c>
    </row>
    <row r="12" spans="1:14">
      <c r="A12" s="5" t="s">
        <v>75</v>
      </c>
      <c r="B12" s="25">
        <f>ROUND((Expenses!B8/B6),2)</f>
        <v>1.08</v>
      </c>
      <c r="C12" s="25">
        <f>ROUND((Expenses!C8/C6),2)</f>
        <v>1.06</v>
      </c>
      <c r="D12" s="25">
        <f>ROUND((Expenses!D8/D6),2)</f>
        <v>1.04</v>
      </c>
      <c r="E12" s="25">
        <f>ROUND((Expenses!E8/E6),2)</f>
        <v>1.02</v>
      </c>
      <c r="F12" s="25">
        <f>ROUND((Expenses!F8/F6),2)</f>
        <v>1</v>
      </c>
      <c r="G12" s="25">
        <f>ROUND((Expenses!G8/G6),2)</f>
        <v>0.99</v>
      </c>
      <c r="H12" s="25">
        <f>ROUND((Expenses!H8/H6),2)</f>
        <v>0.97</v>
      </c>
      <c r="I12" s="25">
        <f>ROUND((Expenses!I8/I6),2)</f>
        <v>0.95</v>
      </c>
      <c r="J12" s="25">
        <f>ROUND((Expenses!J8/J6),2)</f>
        <v>0.94</v>
      </c>
      <c r="K12" s="25">
        <f>ROUND((Expenses!K8/K6),2)</f>
        <v>0.93</v>
      </c>
      <c r="L12" s="25">
        <f>ROUND((Expenses!L8/L6),2)</f>
        <v>0.92</v>
      </c>
      <c r="M12" s="25">
        <f>ROUND((Expenses!M8/M6),2)</f>
        <v>0.9</v>
      </c>
      <c r="N12" s="25">
        <f>ROUND((Expenses!N8/N6),2)</f>
        <v>0.98</v>
      </c>
    </row>
    <row r="13" spans="1:14">
      <c r="A13" t="s">
        <v>76</v>
      </c>
      <c r="B13" s="25">
        <f>ROUND((Expenses!B15/B6),2)</f>
        <v>0.38</v>
      </c>
      <c r="C13" s="25">
        <f>ROUND((Expenses!C15/C6),2)</f>
        <v>0.38</v>
      </c>
      <c r="D13" s="25">
        <f>ROUND((Expenses!D15/D6),2)</f>
        <v>0.37</v>
      </c>
      <c r="E13" s="25">
        <f>ROUND((Expenses!E15/E6),2)</f>
        <v>0.36</v>
      </c>
      <c r="F13" s="25">
        <f>ROUND((Expenses!F15/F6),2)</f>
        <v>0.36</v>
      </c>
      <c r="G13" s="25">
        <f>ROUND((Expenses!G15/G6),2)</f>
        <v>0.35</v>
      </c>
      <c r="H13" s="25">
        <f>ROUND((Expenses!H15/H6),2)</f>
        <v>0.35</v>
      </c>
      <c r="I13" s="25">
        <f>ROUND((Expenses!I15/I6),2)</f>
        <v>0.34</v>
      </c>
      <c r="J13" s="25">
        <f>ROUND((Expenses!J15/J6),2)</f>
        <v>0.34</v>
      </c>
      <c r="K13" s="25">
        <f>ROUND((Expenses!K15/K6),2)</f>
        <v>0.33</v>
      </c>
      <c r="L13" s="25">
        <f>ROUND((Expenses!L15/L6),2)</f>
        <v>0.33</v>
      </c>
      <c r="M13" s="25">
        <f>ROUND((Expenses!M15/M6),2)</f>
        <v>0.32</v>
      </c>
      <c r="N13" s="25">
        <f>ROUND((Expenses!N15/N6),2)</f>
        <v>0.35</v>
      </c>
    </row>
    <row r="15" spans="1:14">
      <c r="A15" s="5" t="s">
        <v>77</v>
      </c>
    </row>
    <row r="16" spans="1:14">
      <c r="A16" s="5" t="s">
        <v>55</v>
      </c>
      <c r="B16" s="22">
        <f>Revenue!B8</f>
        <v>510</v>
      </c>
      <c r="C16" s="22">
        <f>Revenue!C8</f>
        <v>520</v>
      </c>
      <c r="D16" s="22">
        <f>Revenue!D8</f>
        <v>530</v>
      </c>
      <c r="E16" s="22">
        <f>Revenue!E8</f>
        <v>539</v>
      </c>
      <c r="F16" s="22">
        <f>Revenue!F8</f>
        <v>548</v>
      </c>
      <c r="G16" s="22">
        <f>Revenue!G8</f>
        <v>557</v>
      </c>
      <c r="H16" s="22">
        <f>Revenue!H8</f>
        <v>566</v>
      </c>
      <c r="I16" s="22">
        <f>Revenue!I8</f>
        <v>575</v>
      </c>
      <c r="J16" s="22">
        <f>Revenue!J8</f>
        <v>583</v>
      </c>
      <c r="K16" s="22">
        <f>Revenue!K8</f>
        <v>591</v>
      </c>
      <c r="L16" s="22">
        <f>Revenue!L8</f>
        <v>599</v>
      </c>
      <c r="M16" s="22">
        <f>Revenue!M8</f>
        <v>607</v>
      </c>
      <c r="N16" s="22">
        <f>Revenue!M8</f>
        <v>607</v>
      </c>
    </row>
    <row r="17" spans="1:14">
      <c r="A17" s="5" t="s">
        <v>78</v>
      </c>
      <c r="B17" s="19">
        <f>B6/B16</f>
        <v>127.5</v>
      </c>
      <c r="C17" s="19">
        <f t="shared" ref="C17:N17" si="3">C6/C16</f>
        <v>127.5</v>
      </c>
      <c r="D17" s="19">
        <f t="shared" si="3"/>
        <v>127.5</v>
      </c>
      <c r="E17" s="19">
        <f t="shared" si="3"/>
        <v>127.5</v>
      </c>
      <c r="F17" s="19">
        <f t="shared" si="3"/>
        <v>127.5</v>
      </c>
      <c r="G17" s="19">
        <f t="shared" si="3"/>
        <v>127.5</v>
      </c>
      <c r="H17" s="19">
        <f t="shared" si="3"/>
        <v>127.5</v>
      </c>
      <c r="I17" s="19">
        <f t="shared" si="3"/>
        <v>127.5</v>
      </c>
      <c r="J17" s="19">
        <f t="shared" si="3"/>
        <v>127.5</v>
      </c>
      <c r="K17" s="19">
        <f t="shared" si="3"/>
        <v>127.5</v>
      </c>
      <c r="L17" s="19">
        <f t="shared" si="3"/>
        <v>127.5</v>
      </c>
      <c r="M17" s="19">
        <f t="shared" si="3"/>
        <v>127.5</v>
      </c>
      <c r="N17" s="19">
        <f t="shared" si="3"/>
        <v>1412.5823723228996</v>
      </c>
    </row>
    <row r="19" spans="1:14">
      <c r="A19" s="26" t="s">
        <v>79</v>
      </c>
    </row>
    <row r="20" spans="1:14">
      <c r="A20" s="5" t="s">
        <v>80</v>
      </c>
      <c r="B20" s="23">
        <f>N6</f>
        <v>857437.5</v>
      </c>
    </row>
    <row r="21" spans="1:14">
      <c r="A21" s="5" t="s">
        <v>81</v>
      </c>
      <c r="B21" s="24">
        <f>N7</f>
        <v>1140000</v>
      </c>
    </row>
    <row r="22" spans="1:14">
      <c r="A22" s="5" t="s">
        <v>82</v>
      </c>
      <c r="B22" s="20">
        <f>N9</f>
        <v>-282562.5</v>
      </c>
    </row>
    <row r="23" spans="1:14">
      <c r="A23" s="5" t="s">
        <v>83</v>
      </c>
      <c r="B23" s="25">
        <f>N10</f>
        <v>-0.33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CA9E-BD02-42E0-AC48-90AF370A6A58}">
  <sheetPr>
    <tabColor rgb="FFFFC000"/>
  </sheetPr>
  <dimension ref="A1:E26"/>
  <sheetViews>
    <sheetView workbookViewId="0">
      <selection activeCell="K26" sqref="K26"/>
    </sheetView>
  </sheetViews>
  <sheetFormatPr defaultRowHeight="15"/>
  <cols>
    <col min="1" max="1" width="41.28515625" bestFit="1" customWidth="1"/>
    <col min="2" max="2" width="13.7109375" style="5" bestFit="1" customWidth="1"/>
    <col min="3" max="3" width="12.7109375" style="5" bestFit="1" customWidth="1"/>
    <col min="4" max="4" width="16" style="5" bestFit="1" customWidth="1"/>
    <col min="5" max="5" width="23" style="5" bestFit="1" customWidth="1"/>
  </cols>
  <sheetData>
    <row r="1" spans="1:5">
      <c r="A1" s="16" t="s">
        <v>84</v>
      </c>
    </row>
    <row r="2" spans="1:5">
      <c r="A2" t="s">
        <v>85</v>
      </c>
    </row>
    <row r="4" spans="1:5">
      <c r="A4" t="s">
        <v>38</v>
      </c>
      <c r="B4" s="5" t="s">
        <v>86</v>
      </c>
      <c r="C4" s="5" t="s">
        <v>87</v>
      </c>
      <c r="D4" s="5" t="s">
        <v>88</v>
      </c>
      <c r="E4" s="5" t="s">
        <v>89</v>
      </c>
    </row>
    <row r="6" spans="1:5">
      <c r="A6" s="38" t="s">
        <v>90</v>
      </c>
    </row>
    <row r="7" spans="1:5">
      <c r="A7" t="s">
        <v>80</v>
      </c>
      <c r="B7" s="20">
        <v>1160063</v>
      </c>
      <c r="C7" s="41">
        <v>1008750</v>
      </c>
      <c r="D7" s="20">
        <v>857438</v>
      </c>
      <c r="E7" s="20">
        <f>B7-D7</f>
        <v>302625</v>
      </c>
    </row>
    <row r="8" spans="1:5">
      <c r="A8" t="s">
        <v>91</v>
      </c>
      <c r="B8" s="20">
        <f>B7-C7</f>
        <v>151313</v>
      </c>
      <c r="C8" s="5" t="s">
        <v>92</v>
      </c>
      <c r="D8" s="20">
        <f>D7-C7</f>
        <v>-151312</v>
      </c>
    </row>
    <row r="9" spans="1:5">
      <c r="A9" t="s">
        <v>93</v>
      </c>
      <c r="B9" s="25">
        <f>ROUND((B8/C7),2)</f>
        <v>0.15</v>
      </c>
      <c r="C9" s="5" t="s">
        <v>92</v>
      </c>
      <c r="D9" s="25">
        <f>ROUND((D8/C7),2)</f>
        <v>-0.15</v>
      </c>
    </row>
    <row r="11" spans="1:5">
      <c r="A11" s="37" t="s">
        <v>94</v>
      </c>
    </row>
    <row r="12" spans="1:5">
      <c r="A12" t="s">
        <v>81</v>
      </c>
      <c r="B12" s="14">
        <v>1140000</v>
      </c>
      <c r="C12" s="34">
        <v>1140000</v>
      </c>
      <c r="D12" s="20">
        <v>1140000</v>
      </c>
      <c r="E12" s="5">
        <f>B12-D12</f>
        <v>0</v>
      </c>
    </row>
    <row r="13" spans="1:5">
      <c r="A13" t="s">
        <v>95</v>
      </c>
      <c r="B13" s="14">
        <f>B7-B12</f>
        <v>20063</v>
      </c>
      <c r="C13" s="18">
        <f>C7-C12</f>
        <v>-131250</v>
      </c>
      <c r="D13" s="20">
        <f>D7-D12</f>
        <v>-282562</v>
      </c>
      <c r="E13" s="20">
        <f>B13-D13</f>
        <v>302625</v>
      </c>
    </row>
    <row r="14" spans="1:5">
      <c r="A14" t="s">
        <v>74</v>
      </c>
      <c r="B14" s="35">
        <f>ROUND((B13/B7),2)</f>
        <v>0.02</v>
      </c>
      <c r="C14" s="35">
        <f t="shared" ref="C14:D14" si="0">ROUND((C13/C7),2)</f>
        <v>-0.13</v>
      </c>
      <c r="D14" s="35">
        <f t="shared" si="0"/>
        <v>-0.33</v>
      </c>
      <c r="E14" s="25">
        <f>B14-D14</f>
        <v>0.35000000000000003</v>
      </c>
    </row>
    <row r="16" spans="1:5">
      <c r="A16" s="36" t="s">
        <v>96</v>
      </c>
    </row>
    <row r="17" spans="1:5">
      <c r="A17" t="s">
        <v>97</v>
      </c>
      <c r="B17">
        <v>607</v>
      </c>
      <c r="C17">
        <v>607</v>
      </c>
      <c r="D17">
        <v>607</v>
      </c>
      <c r="E17" s="5">
        <f>B17-D17</f>
        <v>0</v>
      </c>
    </row>
    <row r="18" spans="1:5">
      <c r="A18" t="s">
        <v>98</v>
      </c>
      <c r="B18">
        <f>ROUND((B7/B17),2)</f>
        <v>1911.14</v>
      </c>
      <c r="C18">
        <f t="shared" ref="C18:D18" si="1">ROUND((C7/C17),2)</f>
        <v>1661.86</v>
      </c>
      <c r="D18">
        <f t="shared" si="1"/>
        <v>1412.58</v>
      </c>
      <c r="E18" s="5">
        <f>B18-D18</f>
        <v>498.56000000000017</v>
      </c>
    </row>
    <row r="20" spans="1:5">
      <c r="A20" s="39" t="s">
        <v>99</v>
      </c>
    </row>
    <row r="21" spans="1:5">
      <c r="A21" t="s">
        <v>100</v>
      </c>
      <c r="B21" t="s">
        <v>101</v>
      </c>
      <c r="C21" t="s">
        <v>102</v>
      </c>
      <c r="D21" t="s">
        <v>102</v>
      </c>
    </row>
    <row r="22" spans="1:5">
      <c r="A22" t="s">
        <v>103</v>
      </c>
      <c r="B22" s="5" t="s">
        <v>92</v>
      </c>
      <c r="C22" s="20">
        <f>C12-C7</f>
        <v>131250</v>
      </c>
      <c r="D22" s="20">
        <f>D12-D7</f>
        <v>282562</v>
      </c>
    </row>
    <row r="23" spans="1:5">
      <c r="A23" t="s">
        <v>104</v>
      </c>
      <c r="B23" s="5" t="s">
        <v>92</v>
      </c>
      <c r="C23" s="33">
        <f>ABS(C7-C12)</f>
        <v>131250</v>
      </c>
      <c r="D23" s="33">
        <f>ABS(D7-D12)</f>
        <v>282562</v>
      </c>
    </row>
    <row r="25" spans="1:5">
      <c r="A25" t="s">
        <v>105</v>
      </c>
    </row>
    <row r="26" spans="1:5" ht="75">
      <c r="A26" s="4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</vt:lpstr>
      <vt:lpstr>Expenses</vt:lpstr>
      <vt:lpstr>Forecast Summary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Dabi Njere</dc:creator>
  <cp:lastModifiedBy>Dabi Njere</cp:lastModifiedBy>
  <dcterms:created xsi:type="dcterms:W3CDTF">2026-04-25T00:50:40Z</dcterms:created>
  <dcterms:modified xsi:type="dcterms:W3CDTF">2026-04-26T06:23:44Z</dcterms:modified>
</cp:coreProperties>
</file>